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tuhin\Desktop\Anudip-Training\PROJECT\"/>
    </mc:Choice>
  </mc:AlternateContent>
  <xr:revisionPtr revIDLastSave="0" documentId="13_ncr:1_{F89FAA67-AAAE-4FE9-9E6D-EFFC93604935}" xr6:coauthVersionLast="47" xr6:coauthVersionMax="47" xr10:uidLastSave="{00000000-0000-0000-0000-000000000000}"/>
  <bookViews>
    <workbookView xWindow="-110" yWindow="-110" windowWidth="19420" windowHeight="10300" tabRatio="598" firstSheet="2" activeTab="5" xr2:uid="{00000000-000D-0000-FFFF-FFFF00000000}"/>
  </bookViews>
  <sheets>
    <sheet name="Main Dataset" sheetId="1" r:id="rId1"/>
    <sheet name="Finding Age To DOB" sheetId="3" r:id="rId2"/>
    <sheet name="Age-Belt distribution of Studen" sheetId="9" r:id="rId3"/>
    <sheet name="Quary Q&amp;A" sheetId="4" r:id="rId4"/>
    <sheet name="Pivot Table" sheetId="11" r:id="rId5"/>
    <sheet name="Dashboard" sheetId="12" r:id="rId6"/>
  </sheets>
  <definedNames>
    <definedName name="_xlnm._FilterDatabase" localSheetId="1" hidden="1">'Finding Age To DOB'!$A$1:$A$480</definedName>
    <definedName name="_xlnm._FilterDatabase" localSheetId="0" hidden="1">'Main Dataset'!$A$1:$A$480</definedName>
    <definedName name="_xlchart.v1.0" hidden="1">'Pivot Table'!$A$4:$A$6</definedName>
    <definedName name="_xlchart.v1.1" hidden="1">'Pivot Table'!$B$3</definedName>
    <definedName name="_xlchart.v1.2" hidden="1">'Pivot Table'!$B$4:$B$6</definedName>
    <definedName name="_xlchart.v1.3" hidden="1">'Pivot Table'!$A$4:$A$6</definedName>
    <definedName name="_xlchart.v1.4" hidden="1">'Pivot Table'!$B$3</definedName>
    <definedName name="_xlchart.v1.5" hidden="1">'Pivot Table'!$B$4:$B$6</definedName>
    <definedName name="_xlcn.WorksheetConnection_OVERALLRESPONSE.xlsxForm_Responses31" hidden="1">Form_Responses3[]</definedName>
    <definedName name="Slicer_AGE">#N/A</definedName>
    <definedName name="Slicer_AGE1">#N/A</definedName>
    <definedName name="Slicer_BELT">#N/A</definedName>
    <definedName name="Slicer_MEDALS">#N/A</definedName>
  </definedNames>
  <calcPr calcId="191029"/>
  <pivotCaches>
    <pivotCache cacheId="0" r:id="rId7"/>
    <pivotCache cacheId="94" r:id="rId8"/>
  </pivotCaches>
  <extLst>
    <ext xmlns:x14="http://schemas.microsoft.com/office/spreadsheetml/2009/9/main" uri="{876F7934-8845-4945-9796-88D515C7AA90}">
      <x14:pivotCaches>
        <pivotCache cacheId="2" r:id="rId9"/>
      </x14:pivotCaches>
    </ex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Form_Responses3" name="Form_Responses3" connection="WorksheetConnection_OVERALL RESPONSE.xlsx!Form_Responses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9" i="9" l="1"/>
  <c r="B6" i="9"/>
  <c r="H11" i="4"/>
  <c r="H14" i="4"/>
  <c r="H8" i="4"/>
  <c r="H5" i="4"/>
  <c r="H2" i="4"/>
  <c r="A14" i="4"/>
  <c r="A11" i="4"/>
  <c r="A8" i="4"/>
  <c r="A5" i="4"/>
  <c r="A2" i="4"/>
  <c r="D4"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63" i="3"/>
  <c r="D64" i="3"/>
  <c r="D65" i="3"/>
  <c r="D66" i="3"/>
  <c r="D67" i="3"/>
  <c r="D68" i="3"/>
  <c r="D69" i="3"/>
  <c r="D70" i="3"/>
  <c r="D71" i="3"/>
  <c r="D72" i="3"/>
  <c r="D73" i="3"/>
  <c r="D74" i="3"/>
  <c r="D75" i="3"/>
  <c r="D76" i="3"/>
  <c r="D77" i="3"/>
  <c r="D78" i="3"/>
  <c r="D79" i="3"/>
  <c r="D80" i="3"/>
  <c r="D81" i="3"/>
  <c r="D82" i="3"/>
  <c r="D83" i="3"/>
  <c r="D84" i="3"/>
  <c r="D85" i="3"/>
  <c r="D86" i="3"/>
  <c r="D87" i="3"/>
  <c r="D88" i="3"/>
  <c r="D89" i="3"/>
  <c r="D90" i="3"/>
  <c r="D91" i="3"/>
  <c r="D92" i="3"/>
  <c r="D93" i="3"/>
  <c r="D94" i="3"/>
  <c r="D95" i="3"/>
  <c r="D96" i="3"/>
  <c r="D97" i="3"/>
  <c r="D98" i="3"/>
  <c r="D99" i="3"/>
  <c r="D100" i="3"/>
  <c r="D101" i="3"/>
  <c r="D102" i="3"/>
  <c r="D103" i="3"/>
  <c r="D104" i="3"/>
  <c r="D105" i="3"/>
  <c r="D106" i="3"/>
  <c r="D107" i="3"/>
  <c r="D108" i="3"/>
  <c r="D109" i="3"/>
  <c r="D110" i="3"/>
  <c r="D111" i="3"/>
  <c r="D112" i="3"/>
  <c r="D113" i="3"/>
  <c r="D114" i="3"/>
  <c r="D115" i="3"/>
  <c r="D116" i="3"/>
  <c r="D117" i="3"/>
  <c r="D118" i="3"/>
  <c r="D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D202" i="3"/>
  <c r="D203" i="3"/>
  <c r="D204" i="3"/>
  <c r="D205" i="3"/>
  <c r="D206" i="3"/>
  <c r="D207" i="3"/>
  <c r="D208" i="3"/>
  <c r="D209" i="3"/>
  <c r="D210" i="3"/>
  <c r="D211" i="3"/>
  <c r="D212" i="3"/>
  <c r="D213" i="3"/>
  <c r="D214" i="3"/>
  <c r="D215" i="3"/>
  <c r="D216"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42" i="3"/>
  <c r="D243" i="3"/>
  <c r="D244" i="3"/>
  <c r="D245" i="3"/>
  <c r="D246" i="3"/>
  <c r="D247" i="3"/>
  <c r="D248" i="3"/>
  <c r="D249" i="3"/>
  <c r="D250" i="3"/>
  <c r="D251" i="3"/>
  <c r="D252" i="3"/>
  <c r="D253" i="3"/>
  <c r="D254" i="3"/>
  <c r="D255" i="3"/>
  <c r="D256" i="3"/>
  <c r="D257" i="3"/>
  <c r="D258" i="3"/>
  <c r="D259" i="3"/>
  <c r="D260" i="3"/>
  <c r="D261" i="3"/>
  <c r="D262" i="3"/>
  <c r="D263" i="3"/>
  <c r="D264" i="3"/>
  <c r="D265" i="3"/>
  <c r="D266" i="3"/>
  <c r="D267" i="3"/>
  <c r="D268" i="3"/>
  <c r="D269" i="3"/>
  <c r="D270" i="3"/>
  <c r="D271" i="3"/>
  <c r="D272" i="3"/>
  <c r="D273" i="3"/>
  <c r="D274" i="3"/>
  <c r="D275" i="3"/>
  <c r="D276" i="3"/>
  <c r="D277" i="3"/>
  <c r="D278" i="3"/>
  <c r="D279" i="3"/>
  <c r="D280" i="3"/>
  <c r="D281" i="3"/>
  <c r="D282" i="3"/>
  <c r="D283" i="3"/>
  <c r="D284" i="3"/>
  <c r="D285" i="3"/>
  <c r="D286" i="3"/>
  <c r="D287" i="3"/>
  <c r="D288" i="3"/>
  <c r="D289" i="3"/>
  <c r="D290" i="3"/>
  <c r="D291" i="3"/>
  <c r="D292" i="3"/>
  <c r="D293" i="3"/>
  <c r="D294" i="3"/>
  <c r="D295" i="3"/>
  <c r="D296" i="3"/>
  <c r="D297" i="3"/>
  <c r="D298" i="3"/>
  <c r="D299" i="3"/>
  <c r="D300" i="3"/>
  <c r="D301" i="3"/>
  <c r="D302" i="3"/>
  <c r="D303" i="3"/>
  <c r="D304" i="3"/>
  <c r="D305" i="3"/>
  <c r="D306" i="3"/>
  <c r="D307" i="3"/>
  <c r="D308" i="3"/>
  <c r="D309" i="3"/>
  <c r="D310" i="3"/>
  <c r="D311" i="3"/>
  <c r="D312" i="3"/>
  <c r="D313" i="3"/>
  <c r="D314" i="3"/>
  <c r="D315" i="3"/>
  <c r="D316" i="3"/>
  <c r="D317" i="3"/>
  <c r="D318" i="3"/>
  <c r="D319" i="3"/>
  <c r="D320" i="3"/>
  <c r="D321" i="3"/>
  <c r="D322" i="3"/>
  <c r="D323" i="3"/>
  <c r="D324" i="3"/>
  <c r="D325" i="3"/>
  <c r="D326" i="3"/>
  <c r="D327" i="3"/>
  <c r="D328" i="3"/>
  <c r="D329" i="3"/>
  <c r="D330" i="3"/>
  <c r="D331" i="3"/>
  <c r="D332" i="3"/>
  <c r="D333" i="3"/>
  <c r="D334" i="3"/>
  <c r="D335" i="3"/>
  <c r="D336" i="3"/>
  <c r="D337" i="3"/>
  <c r="D338" i="3"/>
  <c r="D339" i="3"/>
  <c r="D340" i="3"/>
  <c r="D341" i="3"/>
  <c r="D342" i="3"/>
  <c r="D343" i="3"/>
  <c r="D344" i="3"/>
  <c r="D345" i="3"/>
  <c r="D346" i="3"/>
  <c r="D347" i="3"/>
  <c r="D348" i="3"/>
  <c r="D349" i="3"/>
  <c r="D350" i="3"/>
  <c r="D351" i="3"/>
  <c r="D352" i="3"/>
  <c r="D353" i="3"/>
  <c r="D354" i="3"/>
  <c r="D355" i="3"/>
  <c r="D356" i="3"/>
  <c r="D357" i="3"/>
  <c r="D358" i="3"/>
  <c r="D359" i="3"/>
  <c r="D360" i="3"/>
  <c r="D361" i="3"/>
  <c r="D362" i="3"/>
  <c r="D363" i="3"/>
  <c r="D364" i="3"/>
  <c r="D365" i="3"/>
  <c r="D366" i="3"/>
  <c r="D367" i="3"/>
  <c r="D368" i="3"/>
  <c r="D369" i="3"/>
  <c r="D370" i="3"/>
  <c r="D371" i="3"/>
  <c r="D372" i="3"/>
  <c r="D373" i="3"/>
  <c r="D374" i="3"/>
  <c r="D375" i="3"/>
  <c r="D376" i="3"/>
  <c r="D377" i="3"/>
  <c r="D378" i="3"/>
  <c r="D379" i="3"/>
  <c r="D380" i="3"/>
  <c r="D381" i="3"/>
  <c r="D382" i="3"/>
  <c r="D383" i="3"/>
  <c r="D384" i="3"/>
  <c r="D385" i="3"/>
  <c r="D386" i="3"/>
  <c r="D387" i="3"/>
  <c r="D388" i="3"/>
  <c r="D389" i="3"/>
  <c r="D390" i="3"/>
  <c r="D391" i="3"/>
  <c r="D392" i="3"/>
  <c r="D393" i="3"/>
  <c r="D394" i="3"/>
  <c r="D395" i="3"/>
  <c r="D396" i="3"/>
  <c r="D397" i="3"/>
  <c r="D398" i="3"/>
  <c r="D399" i="3"/>
  <c r="D400" i="3"/>
  <c r="D401" i="3"/>
  <c r="D402" i="3"/>
  <c r="D403" i="3"/>
  <c r="D404" i="3"/>
  <c r="D405" i="3"/>
  <c r="D406" i="3"/>
  <c r="D407" i="3"/>
  <c r="D408" i="3"/>
  <c r="D409" i="3"/>
  <c r="D410" i="3"/>
  <c r="D411" i="3"/>
  <c r="D412" i="3"/>
  <c r="D413" i="3"/>
  <c r="D414" i="3"/>
  <c r="D415" i="3"/>
  <c r="D416" i="3"/>
  <c r="D417" i="3"/>
  <c r="D418" i="3"/>
  <c r="D419" i="3"/>
  <c r="D420" i="3"/>
  <c r="D421" i="3"/>
  <c r="D422" i="3"/>
  <c r="D423" i="3"/>
  <c r="D424" i="3"/>
  <c r="D425" i="3"/>
  <c r="D426" i="3"/>
  <c r="D427" i="3"/>
  <c r="D428" i="3"/>
  <c r="D429" i="3"/>
  <c r="D430" i="3"/>
  <c r="D431" i="3"/>
  <c r="D432" i="3"/>
  <c r="D433" i="3"/>
  <c r="D434" i="3"/>
  <c r="D435" i="3"/>
  <c r="D436" i="3"/>
  <c r="D437" i="3"/>
  <c r="D438" i="3"/>
  <c r="D439" i="3"/>
  <c r="D440" i="3"/>
  <c r="D441" i="3"/>
  <c r="D442" i="3"/>
  <c r="D443" i="3"/>
  <c r="D444" i="3"/>
  <c r="D445" i="3"/>
  <c r="D446" i="3"/>
  <c r="D447" i="3"/>
  <c r="D448" i="3"/>
  <c r="D449" i="3"/>
  <c r="D450" i="3"/>
  <c r="D451" i="3"/>
  <c r="D452" i="3"/>
  <c r="D453" i="3"/>
  <c r="D454" i="3"/>
  <c r="D455" i="3"/>
  <c r="D456" i="3"/>
  <c r="D457" i="3"/>
  <c r="D458" i="3"/>
  <c r="D459" i="3"/>
  <c r="D460" i="3"/>
  <c r="D461" i="3"/>
  <c r="D462" i="3"/>
  <c r="D463" i="3"/>
  <c r="D464" i="3"/>
  <c r="D465" i="3"/>
  <c r="D466" i="3"/>
  <c r="D467" i="3"/>
  <c r="D468" i="3"/>
  <c r="D469" i="3"/>
  <c r="D470" i="3"/>
  <c r="D471" i="3"/>
  <c r="D472" i="3"/>
  <c r="D473" i="3"/>
  <c r="D474" i="3"/>
  <c r="D475" i="3"/>
  <c r="D476" i="3"/>
  <c r="D477" i="3"/>
  <c r="D478" i="3"/>
  <c r="D479" i="3"/>
  <c r="D480" i="3"/>
  <c r="D481" i="3"/>
  <c r="D482" i="3"/>
  <c r="D483" i="3"/>
  <c r="D484" i="3"/>
  <c r="D485" i="3"/>
  <c r="D486" i="3"/>
  <c r="D487" i="3"/>
  <c r="D488" i="3"/>
  <c r="D489" i="3"/>
  <c r="D490" i="3"/>
  <c r="D491" i="3"/>
  <c r="D492" i="3"/>
  <c r="D493" i="3"/>
  <c r="D494" i="3"/>
  <c r="D495" i="3"/>
  <c r="D496" i="3"/>
  <c r="D497" i="3"/>
  <c r="D498" i="3"/>
  <c r="D499" i="3"/>
  <c r="D500" i="3"/>
  <c r="D501" i="3"/>
  <c r="D502" i="3"/>
  <c r="D503" i="3"/>
  <c r="D504" i="3"/>
  <c r="D505" i="3"/>
  <c r="D506" i="3"/>
  <c r="D507" i="3"/>
  <c r="D508" i="3"/>
  <c r="D509" i="3"/>
  <c r="D510" i="3"/>
  <c r="D511" i="3"/>
  <c r="D512" i="3"/>
  <c r="D513" i="3"/>
  <c r="D514" i="3"/>
  <c r="D515" i="3"/>
  <c r="D516" i="3"/>
  <c r="D517" i="3"/>
  <c r="D518" i="3"/>
  <c r="D519" i="3"/>
  <c r="D520" i="3"/>
  <c r="D521" i="3"/>
  <c r="D3" i="3"/>
  <c r="D5" i="3"/>
  <c r="D6" i="3"/>
  <c r="D7" i="3"/>
  <c r="D8" i="3"/>
  <c r="D9" i="3"/>
  <c r="D10" i="3"/>
  <c r="D11" i="3"/>
  <c r="D2" i="3"/>
  <c r="A3" i="3"/>
  <c r="A4" i="3" s="1"/>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3" i="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H17" i="9" l="1"/>
  <c r="H5" i="9"/>
  <c r="H14" i="9"/>
  <c r="H11" i="9"/>
  <c r="H8"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32" authorId="0" shapeId="0" xr:uid="{00000000-0006-0000-0000-00000D000000}">
      <text>
        <r>
          <rPr>
            <sz val="10"/>
            <color rgb="FF000000"/>
            <rFont val="Arial"/>
            <family val="2"/>
            <scheme val="minor"/>
          </rPr>
          <t>Responder updated this value.</t>
        </r>
      </text>
    </comment>
    <comment ref="G34" authorId="0" shapeId="0" xr:uid="{00000000-0006-0000-0000-00000C000000}">
      <text>
        <r>
          <rPr>
            <sz val="10"/>
            <color rgb="FF000000"/>
            <rFont val="Arial"/>
            <family val="2"/>
            <scheme val="minor"/>
          </rPr>
          <t>Responder updated this value.</t>
        </r>
      </text>
    </comment>
    <comment ref="G35" authorId="0" shapeId="0" xr:uid="{00000000-0006-0000-0000-00000B000000}">
      <text>
        <r>
          <rPr>
            <sz val="10"/>
            <color rgb="FF000000"/>
            <rFont val="Arial"/>
            <family val="2"/>
            <scheme val="minor"/>
          </rPr>
          <t>Responder updated this value.</t>
        </r>
      </text>
    </comment>
    <comment ref="D43" authorId="0" shapeId="0" xr:uid="{00000000-0006-0000-0000-000009000000}">
      <text>
        <r>
          <rPr>
            <sz val="10"/>
            <color rgb="FF000000"/>
            <rFont val="Arial"/>
            <family val="2"/>
            <scheme val="minor"/>
          </rPr>
          <t>Responder updated this value.</t>
        </r>
      </text>
    </comment>
    <comment ref="C62" authorId="0" shapeId="0" xr:uid="{00000000-0006-0000-0000-000006000000}">
      <text>
        <r>
          <rPr>
            <sz val="10"/>
            <color rgb="FF000000"/>
            <rFont val="Arial"/>
            <family val="2"/>
            <scheme val="minor"/>
          </rPr>
          <t>Responder updated this value.</t>
        </r>
      </text>
    </comment>
    <comment ref="C103" authorId="0" shapeId="0" xr:uid="{00000000-0006-0000-0000-00000E000000}">
      <text>
        <r>
          <rPr>
            <sz val="10"/>
            <color rgb="FF000000"/>
            <rFont val="Arial"/>
            <family val="2"/>
            <scheme val="minor"/>
          </rPr>
          <t>Responder updated this value.</t>
        </r>
      </text>
    </comment>
    <comment ref="D140" authorId="0" shapeId="0" xr:uid="{00000000-0006-0000-0000-000007000000}">
      <text>
        <r>
          <rPr>
            <sz val="10"/>
            <color rgb="FF000000"/>
            <rFont val="Arial"/>
            <family val="2"/>
            <scheme val="minor"/>
          </rPr>
          <t>Responder updated this value.</t>
        </r>
      </text>
    </comment>
    <comment ref="D156" authorId="0" shapeId="0" xr:uid="{00000000-0006-0000-0000-000008000000}">
      <text>
        <r>
          <rPr>
            <sz val="10"/>
            <color rgb="FF000000"/>
            <rFont val="Arial"/>
            <family val="2"/>
            <scheme val="minor"/>
          </rPr>
          <t>Responder updated this value.</t>
        </r>
      </text>
    </comment>
    <comment ref="D370" authorId="0" shapeId="0" xr:uid="{00000000-0006-0000-0000-000001000000}">
      <text>
        <r>
          <rPr>
            <sz val="10"/>
            <color rgb="FF000000"/>
            <rFont val="Arial"/>
            <family val="2"/>
            <scheme val="minor"/>
          </rPr>
          <t>Responder updated this value.</t>
        </r>
      </text>
    </comment>
    <comment ref="G370" authorId="0" shapeId="0" xr:uid="{00000000-0006-0000-0000-000002000000}">
      <text>
        <r>
          <rPr>
            <sz val="10"/>
            <color rgb="FF000000"/>
            <rFont val="Arial"/>
            <family val="2"/>
            <scheme val="minor"/>
          </rPr>
          <t>Responder updated this value.</t>
        </r>
      </text>
    </comment>
    <comment ref="D486" authorId="0" shapeId="0" xr:uid="{00000000-0006-0000-0000-000004000000}">
      <text>
        <r>
          <rPr>
            <sz val="10"/>
            <color rgb="FF000000"/>
            <rFont val="Arial"/>
            <family val="2"/>
            <scheme val="minor"/>
          </rPr>
          <t>Responder updated this value.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H32" authorId="0" shapeId="0" xr:uid="{A7E40CD1-7497-46EE-8DFB-2DBF2DF10CAE}">
      <text>
        <r>
          <rPr>
            <sz val="10"/>
            <color rgb="FF000000"/>
            <rFont val="Arial"/>
            <family val="2"/>
            <scheme val="minor"/>
          </rPr>
          <t>Responder updated this value.</t>
        </r>
      </text>
    </comment>
    <comment ref="H34" authorId="0" shapeId="0" xr:uid="{F36F4A34-68C0-4B72-8D14-050F7E486D96}">
      <text>
        <r>
          <rPr>
            <sz val="10"/>
            <color rgb="FF000000"/>
            <rFont val="Arial"/>
            <family val="2"/>
            <scheme val="minor"/>
          </rPr>
          <t>Responder updated this value.</t>
        </r>
      </text>
    </comment>
    <comment ref="H35" authorId="0" shapeId="0" xr:uid="{758009D0-3B5C-429C-8787-9B9DD1107DF8}">
      <text>
        <r>
          <rPr>
            <sz val="10"/>
            <color rgb="FF000000"/>
            <rFont val="Arial"/>
            <family val="2"/>
            <scheme val="minor"/>
          </rPr>
          <t>Responder updated this value.</t>
        </r>
      </text>
    </comment>
    <comment ref="E43" authorId="0" shapeId="0" xr:uid="{FF86D60B-1D51-448E-9C00-9989E78AB349}">
      <text>
        <r>
          <rPr>
            <sz val="10"/>
            <color rgb="FF000000"/>
            <rFont val="Arial"/>
            <family val="2"/>
            <scheme val="minor"/>
          </rPr>
          <t>Responder updated this value.</t>
        </r>
      </text>
    </comment>
    <comment ref="C62" authorId="0" shapeId="0" xr:uid="{966DC87B-5224-406E-AC81-14E1884DDD5C}">
      <text>
        <r>
          <rPr>
            <sz val="10"/>
            <color rgb="FF000000"/>
            <rFont val="Arial"/>
            <family val="2"/>
            <scheme val="minor"/>
          </rPr>
          <t>Responder updated this value.</t>
        </r>
      </text>
    </comment>
    <comment ref="C103" authorId="0" shapeId="0" xr:uid="{34A6AE18-7511-4B91-8D58-1134432AEF32}">
      <text>
        <r>
          <rPr>
            <sz val="10"/>
            <color rgb="FF000000"/>
            <rFont val="Arial"/>
            <family val="2"/>
            <scheme val="minor"/>
          </rPr>
          <t>Responder updated this value.</t>
        </r>
      </text>
    </comment>
    <comment ref="E140" authorId="0" shapeId="0" xr:uid="{6264B91A-C277-4B04-BBDE-506F5F04AADD}">
      <text>
        <r>
          <rPr>
            <sz val="10"/>
            <color rgb="FF000000"/>
            <rFont val="Arial"/>
            <family val="2"/>
            <scheme val="minor"/>
          </rPr>
          <t>Responder updated this value.</t>
        </r>
      </text>
    </comment>
    <comment ref="E156" authorId="0" shapeId="0" xr:uid="{A28B5170-D451-438F-A9A3-9C1AE0FF75BB}">
      <text>
        <r>
          <rPr>
            <sz val="10"/>
            <color rgb="FF000000"/>
            <rFont val="Arial"/>
            <family val="2"/>
            <scheme val="minor"/>
          </rPr>
          <t>Responder updated this value.</t>
        </r>
      </text>
    </comment>
    <comment ref="E370" authorId="0" shapeId="0" xr:uid="{0A158E12-78D3-484B-9E95-C2B4CD9D7A39}">
      <text>
        <r>
          <rPr>
            <sz val="10"/>
            <color rgb="FF000000"/>
            <rFont val="Arial"/>
            <family val="2"/>
            <scheme val="minor"/>
          </rPr>
          <t>Responder updated this value.</t>
        </r>
      </text>
    </comment>
    <comment ref="H370" authorId="0" shapeId="0" xr:uid="{08670921-149F-4D3D-9191-DAF6956D2A8A}">
      <text>
        <r>
          <rPr>
            <sz val="10"/>
            <color rgb="FF000000"/>
            <rFont val="Arial"/>
            <family val="2"/>
            <scheme val="minor"/>
          </rPr>
          <t>Responder updated this value.</t>
        </r>
      </text>
    </comment>
    <comment ref="E486" authorId="0" shapeId="0" xr:uid="{2C03BC1C-737F-481C-9B9A-E93F0A1B402B}">
      <text>
        <r>
          <rPr>
            <sz val="10"/>
            <color rgb="FF000000"/>
            <rFont val="Arial"/>
            <family val="2"/>
            <scheme val="minor"/>
          </rPr>
          <t>Responder updated this value.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9B9FFD-E9D2-4CCC-A5E9-B6BE3C6061D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EE5153B-8F6A-4E48-8D7D-6F2FF4CD3AF0}" name="WorksheetConnection_OVERALL RESPONSE.xlsx!Form_Responses3" type="102" refreshedVersion="8" minRefreshableVersion="5">
    <extLst>
      <ext xmlns:x15="http://schemas.microsoft.com/office/spreadsheetml/2010/11/main" uri="{DE250136-89BD-433C-8126-D09CA5730AF9}">
        <x15:connection id="Form_Responses3" autoDelete="1">
          <x15:rangePr sourceName="_xlcn.WorksheetConnection_OVERALLRESPONSE.xlsxForm_Responses31"/>
        </x15:connection>
      </ext>
    </extLst>
  </connection>
</connections>
</file>

<file path=xl/sharedStrings.xml><?xml version="1.0" encoding="utf-8"?>
<sst xmlns="http://schemas.openxmlformats.org/spreadsheetml/2006/main" count="7399" uniqueCount="646">
  <si>
    <t>NAME</t>
  </si>
  <si>
    <t>DATE OF BIRTH</t>
  </si>
  <si>
    <t>WEIGHT(in kg)</t>
  </si>
  <si>
    <t>GENDER</t>
  </si>
  <si>
    <t>BELT</t>
  </si>
  <si>
    <t>EVENTS</t>
  </si>
  <si>
    <t>INSTRUCTOR NAME</t>
  </si>
  <si>
    <t>DOJO NAME</t>
  </si>
  <si>
    <t>Column 15</t>
  </si>
  <si>
    <t>Column 18</t>
  </si>
  <si>
    <t>Column 23</t>
  </si>
  <si>
    <t>Column 19</t>
  </si>
  <si>
    <t>Column 14</t>
  </si>
  <si>
    <t>Column 22</t>
  </si>
  <si>
    <t>Column 20</t>
  </si>
  <si>
    <t>Column 16</t>
  </si>
  <si>
    <t>Column 17</t>
  </si>
  <si>
    <t>Column 21</t>
  </si>
  <si>
    <t xml:space="preserve">Arushi Chatterjee </t>
  </si>
  <si>
    <t>Female</t>
  </si>
  <si>
    <t>Green</t>
  </si>
  <si>
    <t>Both</t>
  </si>
  <si>
    <t>JAYANTA GUPTA</t>
  </si>
  <si>
    <t>KKA (KALNA)</t>
  </si>
  <si>
    <t>AGNISH MUKHERJEE</t>
  </si>
  <si>
    <t>Male</t>
  </si>
  <si>
    <t>Black</t>
  </si>
  <si>
    <t>ANKANA GHOSH</t>
  </si>
  <si>
    <t>Red</t>
  </si>
  <si>
    <t>BKA (BUDBUD)</t>
  </si>
  <si>
    <t>MONOSISH ROY</t>
  </si>
  <si>
    <t>SAGNIK DAS</t>
  </si>
  <si>
    <t>Purple Stripe</t>
  </si>
  <si>
    <t>Priyanshu Saha</t>
  </si>
  <si>
    <t>Purple</t>
  </si>
  <si>
    <t xml:space="preserve">ARJYA DEV HAZRA </t>
  </si>
  <si>
    <t>GKA (GALSI)</t>
  </si>
  <si>
    <t>Brown Gold</t>
  </si>
  <si>
    <t>SHUVOMITA HATI</t>
  </si>
  <si>
    <t>Orange</t>
  </si>
  <si>
    <t xml:space="preserve">PARINITA KARMAKAR </t>
  </si>
  <si>
    <t xml:space="preserve">Rangan Hazra </t>
  </si>
  <si>
    <t>Yellow</t>
  </si>
  <si>
    <t>RUDRANIL KESH</t>
  </si>
  <si>
    <t>MONOJIT KHARAT</t>
  </si>
  <si>
    <t>Kumite</t>
  </si>
  <si>
    <t>Barsha rui das</t>
  </si>
  <si>
    <t xml:space="preserve">DEBDATTA CHATTERJEE </t>
  </si>
  <si>
    <t>Abhilasa Das</t>
  </si>
  <si>
    <t xml:space="preserve">Shukla Bhattacharya </t>
  </si>
  <si>
    <t>White</t>
  </si>
  <si>
    <t>Kata</t>
  </si>
  <si>
    <t xml:space="preserve">Sulagna Hazra </t>
  </si>
  <si>
    <t xml:space="preserve">SREYOSHI MUKHERJEE </t>
  </si>
  <si>
    <t xml:space="preserve">Ritika Majumder </t>
  </si>
  <si>
    <t>Ishani pramanik</t>
  </si>
  <si>
    <t xml:space="preserve">DEBLINA SARKAR </t>
  </si>
  <si>
    <t xml:space="preserve">SUPRIT DUTTA </t>
  </si>
  <si>
    <t xml:space="preserve">Raktim Jash </t>
  </si>
  <si>
    <t xml:space="preserve">Debanjan Ganguly </t>
  </si>
  <si>
    <t xml:space="preserve">DEBASMITA CHOWDHURY </t>
  </si>
  <si>
    <t>Brown</t>
  </si>
  <si>
    <t xml:space="preserve">Swastika rauth </t>
  </si>
  <si>
    <t>SAMPURNA PAUL</t>
  </si>
  <si>
    <t>Sneha Khatun</t>
  </si>
  <si>
    <t>MONISHA GHOSH</t>
  </si>
  <si>
    <t>Anisha Mondal</t>
  </si>
  <si>
    <t xml:space="preserve">Ankisha Paul </t>
  </si>
  <si>
    <t>Prity Das</t>
  </si>
  <si>
    <t xml:space="preserve">Ankan Sarkar </t>
  </si>
  <si>
    <t xml:space="preserve">Shuvangi Banerjee </t>
  </si>
  <si>
    <t>TUHIN BARMAN</t>
  </si>
  <si>
    <t>Rana Biswas</t>
  </si>
  <si>
    <t xml:space="preserve">Asmita Pal </t>
  </si>
  <si>
    <t xml:space="preserve">Rhitwija Roy </t>
  </si>
  <si>
    <t>Avani Halder</t>
  </si>
  <si>
    <t xml:space="preserve">TRISHAN KIRTANIYA </t>
  </si>
  <si>
    <t>ARADDHA MAJUMDAR</t>
  </si>
  <si>
    <t>AYANTIKA BAIRAGYA</t>
  </si>
  <si>
    <t xml:space="preserve">SUPARNA BISWAS </t>
  </si>
  <si>
    <t>SOMJIT SARKAR</t>
  </si>
  <si>
    <t xml:space="preserve">DIPAYAN DEY </t>
  </si>
  <si>
    <t>SANVI SINGH</t>
  </si>
  <si>
    <t>Rajdip Biswas</t>
  </si>
  <si>
    <t>SOURIK BAG</t>
  </si>
  <si>
    <t xml:space="preserve">AYUSH PAUL </t>
  </si>
  <si>
    <t>Brown Stripe</t>
  </si>
  <si>
    <t>Tannistha Sen</t>
  </si>
  <si>
    <t>MUSKAN KHATUN</t>
  </si>
  <si>
    <t xml:space="preserve">Moupiya Das </t>
  </si>
  <si>
    <t>DIPAYAN</t>
  </si>
  <si>
    <t>SAJIDA SULTANA</t>
  </si>
  <si>
    <t xml:space="preserve">PAPRI DUTTA </t>
  </si>
  <si>
    <t>UDITA MUKHERJEE</t>
  </si>
  <si>
    <t>SHERYA RUIDAS</t>
  </si>
  <si>
    <t>SANCHAYITA SEN</t>
  </si>
  <si>
    <t>ANWESHA DAN</t>
  </si>
  <si>
    <t>Moupriya Mitra</t>
  </si>
  <si>
    <t xml:space="preserve">Priya Dutta </t>
  </si>
  <si>
    <t>Anwesha Sarkar</t>
  </si>
  <si>
    <t>Ritham Kirtyaniya</t>
  </si>
  <si>
    <t>Rupam Sikdar</t>
  </si>
  <si>
    <t xml:space="preserve">Rohini Kirtaniya </t>
  </si>
  <si>
    <t xml:space="preserve">DRABANTI GHOSH </t>
  </si>
  <si>
    <t xml:space="preserve">KRITIKA  GHOSH </t>
  </si>
  <si>
    <t>RAJANAYA BISWAS</t>
  </si>
  <si>
    <t>DIVIYA MONDAL</t>
  </si>
  <si>
    <t xml:space="preserve">MRINMOYEE DEBNATH </t>
  </si>
  <si>
    <t>ROUSAN KARMAKAR</t>
  </si>
  <si>
    <t>SWAPNAMAY   PAL</t>
  </si>
  <si>
    <t xml:space="preserve">Koushani paul </t>
  </si>
  <si>
    <t xml:space="preserve">Arpita Mondal </t>
  </si>
  <si>
    <t xml:space="preserve">Both </t>
  </si>
  <si>
    <t>Partha Rajbanshi</t>
  </si>
  <si>
    <t>Subharajit Saha</t>
  </si>
  <si>
    <t>Jaahnnavi Sen</t>
  </si>
  <si>
    <t>Afrin Parvin</t>
  </si>
  <si>
    <t>MOHADEB SARKAR</t>
  </si>
  <si>
    <t>AKA (JUBILI PARK)</t>
  </si>
  <si>
    <t xml:space="preserve">Sk Atif Rahaman </t>
  </si>
  <si>
    <t>AYENDRI DE</t>
  </si>
  <si>
    <t>PARTHA DAS KARMAKAR</t>
  </si>
  <si>
    <t>ASKA</t>
  </si>
  <si>
    <t>Pius debnath</t>
  </si>
  <si>
    <t xml:space="preserve">ATRIK HALDER </t>
  </si>
  <si>
    <t xml:space="preserve">SUPRIYO GHOSH </t>
  </si>
  <si>
    <t>SUPRITI BHATTACHARYAY</t>
  </si>
  <si>
    <t>RUHI HARIJAN</t>
  </si>
  <si>
    <t xml:space="preserve">TANVEER DAS </t>
  </si>
  <si>
    <t>SHYAMAL NATH</t>
  </si>
  <si>
    <t>BSKA</t>
  </si>
  <si>
    <t xml:space="preserve">DEBANKITA CHAKRABORTY </t>
  </si>
  <si>
    <t xml:space="preserve">DIPANJANA MUKHERJEE </t>
  </si>
  <si>
    <t>DIPAK MUKHERJEE</t>
  </si>
  <si>
    <t>DKA</t>
  </si>
  <si>
    <t xml:space="preserve">MALLIKA MONDAL </t>
  </si>
  <si>
    <t xml:space="preserve">SAYAN ROY </t>
  </si>
  <si>
    <t xml:space="preserve">SUBHADRA ROY </t>
  </si>
  <si>
    <t xml:space="preserve">TRISHA  MONDAL </t>
  </si>
  <si>
    <t xml:space="preserve">SUBHODIP DHARA </t>
  </si>
  <si>
    <t>ASKA (AB)</t>
  </si>
  <si>
    <t>TANAY ROY</t>
  </si>
  <si>
    <t xml:space="preserve">SHREYASEE BARIK </t>
  </si>
  <si>
    <t>DIPAK HARI</t>
  </si>
  <si>
    <t>MSDSKA</t>
  </si>
  <si>
    <t>BIRAJ PAL</t>
  </si>
  <si>
    <t>SAAGNIK MONDAL</t>
  </si>
  <si>
    <t>NEHA DEV</t>
  </si>
  <si>
    <t>SHREYOSREE MURMU</t>
  </si>
  <si>
    <t xml:space="preserve">AKSHIT KESH </t>
  </si>
  <si>
    <t xml:space="preserve">ROUNAK GHOSH </t>
  </si>
  <si>
    <t xml:space="preserve">SAYANI GHOSH </t>
  </si>
  <si>
    <t>Ankush Nandi</t>
  </si>
  <si>
    <t>BIDHU MONDAL</t>
  </si>
  <si>
    <t>SANKAR ROUTH</t>
  </si>
  <si>
    <t>JKC</t>
  </si>
  <si>
    <t xml:space="preserve">AYUSI MAPDER </t>
  </si>
  <si>
    <t>Saanjiva Das</t>
  </si>
  <si>
    <t xml:space="preserve">SPRIHA DESHMUKH </t>
  </si>
  <si>
    <t xml:space="preserve">AYUSH CHAKRABORTY </t>
  </si>
  <si>
    <t>ABHIRAM KARMADOK</t>
  </si>
  <si>
    <t>KYKA</t>
  </si>
  <si>
    <t xml:space="preserve">KUSHAL SAIN </t>
  </si>
  <si>
    <t>RAJIB LOCHAN GHOSH</t>
  </si>
  <si>
    <t>MKC</t>
  </si>
  <si>
    <t xml:space="preserve">RIMI DALAL </t>
  </si>
  <si>
    <t xml:space="preserve">JYOTIRMMAY CHAKRABORTY </t>
  </si>
  <si>
    <t xml:space="preserve">ARIJIT MALLICK </t>
  </si>
  <si>
    <t xml:space="preserve">Barnak Mondal </t>
  </si>
  <si>
    <t>Devansh koley</t>
  </si>
  <si>
    <t xml:space="preserve">Ankita samanta </t>
  </si>
  <si>
    <t>Risita bhowmick</t>
  </si>
  <si>
    <t xml:space="preserve">Subhasree samanta </t>
  </si>
  <si>
    <t>SOUMYAJIT MONDAL</t>
  </si>
  <si>
    <t xml:space="preserve">Rounak mondal </t>
  </si>
  <si>
    <t xml:space="preserve">Dabhasmita karmakar </t>
  </si>
  <si>
    <t>Krishnu shaha</t>
  </si>
  <si>
    <t>Shubham biswas</t>
  </si>
  <si>
    <t xml:space="preserve">Sayantika Halder </t>
  </si>
  <si>
    <t>Pashpal pal</t>
  </si>
  <si>
    <t>TANIA YESMIN</t>
  </si>
  <si>
    <t>Mihir Mondal</t>
  </si>
  <si>
    <t xml:space="preserve">SOUPTIK MANNA </t>
  </si>
  <si>
    <t xml:space="preserve">SRISHTI  BISWAS </t>
  </si>
  <si>
    <t xml:space="preserve">ANKITA BAIRAGYA </t>
  </si>
  <si>
    <t xml:space="preserve">SHRUTI BAIRAGYA </t>
  </si>
  <si>
    <t xml:space="preserve">RANJAN KR HEMBRAM </t>
  </si>
  <si>
    <t xml:space="preserve">Sreejita Banerjee </t>
  </si>
  <si>
    <t>AYAN BANERJEE</t>
  </si>
  <si>
    <t>KMAA</t>
  </si>
  <si>
    <t>RISHIT.  JANA</t>
  </si>
  <si>
    <t xml:space="preserve">SWAGOTA   DEY     </t>
  </si>
  <si>
    <t>Suvrojit Dhara</t>
  </si>
  <si>
    <t xml:space="preserve">Sristi Dhara </t>
  </si>
  <si>
    <t xml:space="preserve">Ankush Das </t>
  </si>
  <si>
    <t>Paridhi Bera</t>
  </si>
  <si>
    <t>ARPON DAS</t>
  </si>
  <si>
    <t>ARITRA  SOM</t>
  </si>
  <si>
    <t xml:space="preserve">Pratim Kumar dey </t>
  </si>
  <si>
    <t>GMAA</t>
  </si>
  <si>
    <t>Priyanshu dey</t>
  </si>
  <si>
    <t xml:space="preserve">Parijat Ghosh </t>
  </si>
  <si>
    <t>ADRISH ROY</t>
  </si>
  <si>
    <t xml:space="preserve">AARUSH KUMAR SINGH </t>
  </si>
  <si>
    <t xml:space="preserve">Piyush Shaw </t>
  </si>
  <si>
    <t>SUBHASH SARKAR</t>
  </si>
  <si>
    <t>RSKA</t>
  </si>
  <si>
    <t xml:space="preserve">ANKITA DUTTA </t>
  </si>
  <si>
    <t>ARUSH SEN</t>
  </si>
  <si>
    <t>DIPIKA BANSFORE</t>
  </si>
  <si>
    <t>Raktim Dey</t>
  </si>
  <si>
    <t>BIMAL DEBNATH</t>
  </si>
  <si>
    <t>Irfa Tasrin</t>
  </si>
  <si>
    <t xml:space="preserve">ANIRBAN RUDRA </t>
  </si>
  <si>
    <t>Zenifa Tasrin</t>
  </si>
  <si>
    <t xml:space="preserve">SAYAN DAS </t>
  </si>
  <si>
    <t>PRATYAY  MONDAL</t>
  </si>
  <si>
    <t xml:space="preserve">RAJIV THAKUR </t>
  </si>
  <si>
    <t xml:space="preserve">ATRATYEE BISWAS </t>
  </si>
  <si>
    <t>SOMYADIP  BOSE</t>
  </si>
  <si>
    <t xml:space="preserve">SANYOG DE </t>
  </si>
  <si>
    <t xml:space="preserve">PITAM SAHA </t>
  </si>
  <si>
    <t xml:space="preserve">ARANNYA ROY </t>
  </si>
  <si>
    <t xml:space="preserve">AHARNA DEY </t>
  </si>
  <si>
    <t>Debasmita Dey</t>
  </si>
  <si>
    <t>Deblina Dey</t>
  </si>
  <si>
    <t>NIVRITI NATH</t>
  </si>
  <si>
    <t xml:space="preserve">AAIRA ALI </t>
  </si>
  <si>
    <t>IDITRI MONDAL</t>
  </si>
  <si>
    <t>Raashi adhikary</t>
  </si>
  <si>
    <t>Adrija singh</t>
  </si>
  <si>
    <t xml:space="preserve">MRITHSA DEBNATH </t>
  </si>
  <si>
    <t xml:space="preserve">SOHINI CHAKRABORTY </t>
  </si>
  <si>
    <t xml:space="preserve">ARYA MANDAL </t>
  </si>
  <si>
    <t xml:space="preserve">DYUTI MAJUMDER </t>
  </si>
  <si>
    <t xml:space="preserve">KAVIYA MANDAL </t>
  </si>
  <si>
    <t>Rishita Das</t>
  </si>
  <si>
    <t xml:space="preserve">Srinchana Singha </t>
  </si>
  <si>
    <t>Sampurna Pan</t>
  </si>
  <si>
    <t>Sampriti Pan</t>
  </si>
  <si>
    <t>Rashi mahali</t>
  </si>
  <si>
    <t>AISHI DE</t>
  </si>
  <si>
    <t>Rimi Das</t>
  </si>
  <si>
    <t>SAUNAK REJ</t>
  </si>
  <si>
    <t xml:space="preserve">KRITTIKA KUNDU </t>
  </si>
  <si>
    <t>SUBHAJIT MALIK</t>
  </si>
  <si>
    <t>PKA</t>
  </si>
  <si>
    <t xml:space="preserve">SAYAN DEY </t>
  </si>
  <si>
    <t>VISHNU SHAW</t>
  </si>
  <si>
    <t>PSKC</t>
  </si>
  <si>
    <t xml:space="preserve">AAYAN MANDAL </t>
  </si>
  <si>
    <t>PARTHA DAS</t>
  </si>
  <si>
    <t xml:space="preserve">SHIVAAY PANDEY </t>
  </si>
  <si>
    <t>ISHANT RABI DAS</t>
  </si>
  <si>
    <t>BHUMIKA DAS</t>
  </si>
  <si>
    <t xml:space="preserve">NIL ADHIKARY </t>
  </si>
  <si>
    <t>ASMI DAS</t>
  </si>
  <si>
    <t>MITRAVEE ROY</t>
  </si>
  <si>
    <t xml:space="preserve">Punnyotoa Mukherjee </t>
  </si>
  <si>
    <t xml:space="preserve">Sourjyo Mukherjee </t>
  </si>
  <si>
    <t xml:space="preserve">RUPSA GANGULI </t>
  </si>
  <si>
    <t xml:space="preserve">ANIK BARAT </t>
  </si>
  <si>
    <t>SUJOY MUDI</t>
  </si>
  <si>
    <t xml:space="preserve">RAJESH SING </t>
  </si>
  <si>
    <t xml:space="preserve">AYANIKA BAIRAGI </t>
  </si>
  <si>
    <t xml:space="preserve">SOURAV DHIBAR </t>
  </si>
  <si>
    <t xml:space="preserve">Nilanjan Das </t>
  </si>
  <si>
    <t xml:space="preserve">ADHYAYAN SARKAR </t>
  </si>
  <si>
    <t xml:space="preserve">RANI SINGH </t>
  </si>
  <si>
    <t>RICHA SARKAR</t>
  </si>
  <si>
    <t>ANKIT TANTI</t>
  </si>
  <si>
    <t>POULOMI DEY</t>
  </si>
  <si>
    <t>MOUPRIYA  DEY</t>
  </si>
  <si>
    <t>EASHA NEOGI</t>
  </si>
  <si>
    <t>PBSKC</t>
  </si>
  <si>
    <t xml:space="preserve">SOUMEN DAS </t>
  </si>
  <si>
    <t>Sahasa Basu</t>
  </si>
  <si>
    <t>Adrija Datta</t>
  </si>
  <si>
    <t xml:space="preserve">RISHAN MANDAL </t>
  </si>
  <si>
    <t>Kingshuk Nandi</t>
  </si>
  <si>
    <t>USMI SARKAR</t>
  </si>
  <si>
    <t>PAMALE MAJI</t>
  </si>
  <si>
    <t>TRISHANWITA LAKSHMAN</t>
  </si>
  <si>
    <t xml:space="preserve">SUPRABHAT KISKU </t>
  </si>
  <si>
    <t>Arya ghosh</t>
  </si>
  <si>
    <t>DEBOMOY DAS</t>
  </si>
  <si>
    <t>Ankan Das</t>
  </si>
  <si>
    <t>PARNAVI GUPTA</t>
  </si>
  <si>
    <t>BIDYUT DEY</t>
  </si>
  <si>
    <t>SSKC</t>
  </si>
  <si>
    <t>SUBHAJIT GHOSH</t>
  </si>
  <si>
    <t xml:space="preserve">SHRUTI BAG </t>
  </si>
  <si>
    <t>ANKUR CHAKROABORTY</t>
  </si>
  <si>
    <t>RIDEEP MAJUMDAR</t>
  </si>
  <si>
    <t xml:space="preserve">MD RAMIZ MANDAL </t>
  </si>
  <si>
    <t>RISHAAN PRAMANCK</t>
  </si>
  <si>
    <t xml:space="preserve">BASTAB KARMODAK </t>
  </si>
  <si>
    <t xml:space="preserve">Abhidhyan Mondal </t>
  </si>
  <si>
    <t>ANIKET SINGHA ROY</t>
  </si>
  <si>
    <t>AKA (SCHOOL MAYDAN)</t>
  </si>
  <si>
    <t xml:space="preserve">ADITYA HAZRA </t>
  </si>
  <si>
    <t>Aahana Das</t>
  </si>
  <si>
    <t>Aaheli Das</t>
  </si>
  <si>
    <t>Manisha Kundu</t>
  </si>
  <si>
    <t>Priyanka Manna</t>
  </si>
  <si>
    <t xml:space="preserve">ARUNIKA SAIN </t>
  </si>
  <si>
    <t xml:space="preserve">SULAGNA SAIN </t>
  </si>
  <si>
    <t xml:space="preserve">AYAN NANDI </t>
  </si>
  <si>
    <t xml:space="preserve">SAMPAD DEY </t>
  </si>
  <si>
    <t xml:space="preserve">TUTAN DEY </t>
  </si>
  <si>
    <t>Aarush Das</t>
  </si>
  <si>
    <t>KABKC</t>
  </si>
  <si>
    <t>Arshi Das</t>
  </si>
  <si>
    <t>Prittiv chaki</t>
  </si>
  <si>
    <t>Abhigyan Das</t>
  </si>
  <si>
    <t xml:space="preserve">Aarav Biswas </t>
  </si>
  <si>
    <t xml:space="preserve">Nahida Khatun Ansari </t>
  </si>
  <si>
    <t xml:space="preserve">SAGAR KARMAKAR </t>
  </si>
  <si>
    <t>Papri Sen</t>
  </si>
  <si>
    <t>SANCHITA MAHANTI</t>
  </si>
  <si>
    <t>RIMAN Roy</t>
  </si>
  <si>
    <t xml:space="preserve">ARIYAN DEBNATH </t>
  </si>
  <si>
    <t>Anwesha Kar</t>
  </si>
  <si>
    <t xml:space="preserve">Nirmit halder </t>
  </si>
  <si>
    <t xml:space="preserve">Subham Halder </t>
  </si>
  <si>
    <t xml:space="preserve">RONIT BANERJEE </t>
  </si>
  <si>
    <t xml:space="preserve">Tithi das </t>
  </si>
  <si>
    <t xml:space="preserve">Tithi mondal </t>
  </si>
  <si>
    <t xml:space="preserve">Parambrata modak </t>
  </si>
  <si>
    <t>Nibedita modak</t>
  </si>
  <si>
    <t xml:space="preserve">Ayush ghosh </t>
  </si>
  <si>
    <t>Prithviraj Barik</t>
  </si>
  <si>
    <t xml:space="preserve">Aratrika Chakraborty </t>
  </si>
  <si>
    <t>Shreya Das</t>
  </si>
  <si>
    <t>Rijon Barai</t>
  </si>
  <si>
    <t>Mrittika Ghosh</t>
  </si>
  <si>
    <t>Jishnu Roy</t>
  </si>
  <si>
    <t>Rimi Mondal</t>
  </si>
  <si>
    <t>Aarohi Mondal</t>
  </si>
  <si>
    <t>Rishav Roy</t>
  </si>
  <si>
    <t xml:space="preserve">POULAMI PAKHIRA </t>
  </si>
  <si>
    <t>Abanti Roy</t>
  </si>
  <si>
    <t>Karan Roy</t>
  </si>
  <si>
    <t xml:space="preserve">Sambhabi Debnath </t>
  </si>
  <si>
    <t xml:space="preserve">Arka Mondal </t>
  </si>
  <si>
    <t>Parijat Roy</t>
  </si>
  <si>
    <t>Ishika Ghosh</t>
  </si>
  <si>
    <t>Sayrindhri Barai</t>
  </si>
  <si>
    <t xml:space="preserve">Aditya Chowdhury </t>
  </si>
  <si>
    <t xml:space="preserve">Kaushiki Karmakar </t>
  </si>
  <si>
    <t>NASKUGKC</t>
  </si>
  <si>
    <t>Aritrisha Bepari</t>
  </si>
  <si>
    <t>Anuradha Murmu</t>
  </si>
  <si>
    <t>Aditya Murmu</t>
  </si>
  <si>
    <t>Payel Manna</t>
  </si>
  <si>
    <t>Avik Dhara</t>
  </si>
  <si>
    <t>Ankita Hansda</t>
  </si>
  <si>
    <t xml:space="preserve">Ishita Debnath </t>
  </si>
  <si>
    <t>Soumik mondal</t>
  </si>
  <si>
    <t xml:space="preserve">Adriti Biswas </t>
  </si>
  <si>
    <t>Sejoti malo</t>
  </si>
  <si>
    <t>KOUSHIK KISKU</t>
  </si>
  <si>
    <t>Aaradhya Bose Dey</t>
  </si>
  <si>
    <t>AYUSI SADHUKHAN</t>
  </si>
  <si>
    <t>ANIK NANDI</t>
  </si>
  <si>
    <t xml:space="preserve">Sekh Farhan Tanvir </t>
  </si>
  <si>
    <t xml:space="preserve">SASHI SEKHAR MURMU </t>
  </si>
  <si>
    <t>Shaurya Majee</t>
  </si>
  <si>
    <t>Sayan barik</t>
  </si>
  <si>
    <t>ANUBRATA PAL</t>
  </si>
  <si>
    <t>SHIYA SEN</t>
  </si>
  <si>
    <t>ATUL KUMAR HELA</t>
  </si>
  <si>
    <t xml:space="preserve">Aharshi Biswas </t>
  </si>
  <si>
    <t>KNNBS</t>
  </si>
  <si>
    <t>Nil Sardar</t>
  </si>
  <si>
    <t>Rahi Biswas</t>
  </si>
  <si>
    <t>Trisha Biswas</t>
  </si>
  <si>
    <t>Rupam Biswas</t>
  </si>
  <si>
    <t>SHREYAN DAS</t>
  </si>
  <si>
    <t>Rudranil Biswas</t>
  </si>
  <si>
    <t>AYANTIKA  DEV</t>
  </si>
  <si>
    <t>Eshita de</t>
  </si>
  <si>
    <t xml:space="preserve">ARYA MUKHERJEE </t>
  </si>
  <si>
    <t>SUDARSHAN PAINE</t>
  </si>
  <si>
    <t>RUPAM DE</t>
  </si>
  <si>
    <t xml:space="preserve">ARITRO MONDAL </t>
  </si>
  <si>
    <t xml:space="preserve">PURBASHA MUKHERJEE </t>
  </si>
  <si>
    <t xml:space="preserve">ANKITA RANA </t>
  </si>
  <si>
    <t xml:space="preserve">ANKITA MALIK </t>
  </si>
  <si>
    <t>SRIJAN DEY</t>
  </si>
  <si>
    <t xml:space="preserve">Ananya Santra </t>
  </si>
  <si>
    <t xml:space="preserve">SRINIKA PAN </t>
  </si>
  <si>
    <t>MIR SHABAZ</t>
  </si>
  <si>
    <t xml:space="preserve">MANIKARNIKA MAHANTA </t>
  </si>
  <si>
    <t xml:space="preserve">SK ZUNAID PARVEZ </t>
  </si>
  <si>
    <t xml:space="preserve">ALFIYA HAQUE </t>
  </si>
  <si>
    <t>ANWESHA PAL</t>
  </si>
  <si>
    <t xml:space="preserve">AROHI SOM </t>
  </si>
  <si>
    <t>ARADHYA MONDAL</t>
  </si>
  <si>
    <t xml:space="preserve">ARKADEEP MONDAL </t>
  </si>
  <si>
    <t xml:space="preserve">NETRIK PANJA </t>
  </si>
  <si>
    <t xml:space="preserve">AYUSH MAITY </t>
  </si>
  <si>
    <t xml:space="preserve">SUMIT SANTRA </t>
  </si>
  <si>
    <t>ANKAN KUNDU</t>
  </si>
  <si>
    <t>SUDARSHAN DAN</t>
  </si>
  <si>
    <t>PRIYAM DAS</t>
  </si>
  <si>
    <t xml:space="preserve">ARYA BHANDARI </t>
  </si>
  <si>
    <t xml:space="preserve">Ishan Biswas </t>
  </si>
  <si>
    <t>RAJ DEY</t>
  </si>
  <si>
    <t xml:space="preserve">Subiksha prasad </t>
  </si>
  <si>
    <t>Ipsita Pramanick</t>
  </si>
  <si>
    <t>SAYANEE BISWAS</t>
  </si>
  <si>
    <t>PRAMANKUR BARMAN</t>
  </si>
  <si>
    <t xml:space="preserve">Suman Barman </t>
  </si>
  <si>
    <t xml:space="preserve">Sayantika Sarkar </t>
  </si>
  <si>
    <t xml:space="preserve">ANKITA PRASAD </t>
  </si>
  <si>
    <t xml:space="preserve">ARPITA PRASAD </t>
  </si>
  <si>
    <t xml:space="preserve">Rohan Halder </t>
  </si>
  <si>
    <t xml:space="preserve">Akash Biswas </t>
  </si>
  <si>
    <t>PIYUSH SARKAR</t>
  </si>
  <si>
    <t xml:space="preserve">URSA MUKHERJEE </t>
  </si>
  <si>
    <t>Aranya Malik</t>
  </si>
  <si>
    <t xml:space="preserve">DEBANGI SARKAR </t>
  </si>
  <si>
    <t>SAPNA ROY</t>
  </si>
  <si>
    <t xml:space="preserve">ARADHYA GANGULY </t>
  </si>
  <si>
    <t xml:space="preserve">ANIKET HARI </t>
  </si>
  <si>
    <t xml:space="preserve">Pritam mondal </t>
  </si>
  <si>
    <t xml:space="preserve">Sheyasree Das </t>
  </si>
  <si>
    <t xml:space="preserve">Agnija Mukherjee </t>
  </si>
  <si>
    <t>Aritra Mondal</t>
  </si>
  <si>
    <t xml:space="preserve">Niladri Addhya </t>
  </si>
  <si>
    <t>Puja Adhikary</t>
  </si>
  <si>
    <t>KALYANIA</t>
  </si>
  <si>
    <t>Sayani Saha</t>
  </si>
  <si>
    <t>Nandini Das</t>
  </si>
  <si>
    <t xml:space="preserve">Nandini Sarkar </t>
  </si>
  <si>
    <t>Ananya Baidya</t>
  </si>
  <si>
    <t>Shreyashi Das</t>
  </si>
  <si>
    <t xml:space="preserve">Arannya Das </t>
  </si>
  <si>
    <t>Sneha Das</t>
  </si>
  <si>
    <t xml:space="preserve">ARNAB DUTTA </t>
  </si>
  <si>
    <t>RANA DUTTA</t>
  </si>
  <si>
    <t>ABKC</t>
  </si>
  <si>
    <t>Rimsha Kirtaniya</t>
  </si>
  <si>
    <t>SHREYAN HANSDA</t>
  </si>
  <si>
    <t>Ishan Mondal</t>
  </si>
  <si>
    <t xml:space="preserve">SK ABRAR HASAN </t>
  </si>
  <si>
    <t>AFTAB SEKH</t>
  </si>
  <si>
    <t>SRINJOY DEY</t>
  </si>
  <si>
    <t xml:space="preserve">Kuntal Ghosh </t>
  </si>
  <si>
    <t>MSKC</t>
  </si>
  <si>
    <t xml:space="preserve">Saranyaa Mitra </t>
  </si>
  <si>
    <t>Saheli Paul</t>
  </si>
  <si>
    <t>Subhajit Kabiraj</t>
  </si>
  <si>
    <t>Subham Santra</t>
  </si>
  <si>
    <t>Srestha Santra</t>
  </si>
  <si>
    <t>Sushanta Pal</t>
  </si>
  <si>
    <t>Surajit Kairi</t>
  </si>
  <si>
    <t>Balaram Barman</t>
  </si>
  <si>
    <t>Pradipto Basu</t>
  </si>
  <si>
    <t>Ankit Pal</t>
  </si>
  <si>
    <t>Ankush Sardar</t>
  </si>
  <si>
    <t>Adrish Roy</t>
  </si>
  <si>
    <t>Titli Halder</t>
  </si>
  <si>
    <t>Priyom Sanpui</t>
  </si>
  <si>
    <t xml:space="preserve">Arannya pal </t>
  </si>
  <si>
    <t>Ishan Rajbanshi</t>
  </si>
  <si>
    <t xml:space="preserve">Suhani Sanyashi </t>
  </si>
  <si>
    <t>Shruti Pakhrey</t>
  </si>
  <si>
    <t xml:space="preserve">Pritha Gurung </t>
  </si>
  <si>
    <t xml:space="preserve">Pankaj Halder </t>
  </si>
  <si>
    <t>Bristi mondal</t>
  </si>
  <si>
    <t>Namrata Nath</t>
  </si>
  <si>
    <t>Sumit Nath</t>
  </si>
  <si>
    <t>Subhamoy Kundu</t>
  </si>
  <si>
    <t>Diya Halder</t>
  </si>
  <si>
    <t>Aritra Dhali</t>
  </si>
  <si>
    <t>Sahel Rajbanshi</t>
  </si>
  <si>
    <t>Ayanjit das</t>
  </si>
  <si>
    <t xml:space="preserve">Ankush Bhowmik </t>
  </si>
  <si>
    <t>Amrita Bag</t>
  </si>
  <si>
    <t>Sukriti Ghosh</t>
  </si>
  <si>
    <t>Arka Halder</t>
  </si>
  <si>
    <t xml:space="preserve">Arjit Debnath </t>
  </si>
  <si>
    <t>Aniket Samaddar</t>
  </si>
  <si>
    <t>AISHI  MUKHERJEE</t>
  </si>
  <si>
    <t xml:space="preserve">Kumkum Majhi </t>
  </si>
  <si>
    <t xml:space="preserve">Ayan Banerjee </t>
  </si>
  <si>
    <t>Shruti Saha</t>
  </si>
  <si>
    <t>Soujas Roy</t>
  </si>
  <si>
    <t>SHRADDHA SARKAR</t>
  </si>
  <si>
    <t>SHARANNYA SARKAR</t>
  </si>
  <si>
    <t xml:space="preserve">NANDINI SINGH </t>
  </si>
  <si>
    <t>YUKTA JASH</t>
  </si>
  <si>
    <t>SKA (SAKTIGARH)</t>
  </si>
  <si>
    <t xml:space="preserve">JANGYASENI SETHY </t>
  </si>
  <si>
    <t>ALIZA AYAT</t>
  </si>
  <si>
    <t xml:space="preserve">SAYANTIKA BISWAS </t>
  </si>
  <si>
    <t xml:space="preserve">ANUVA DAS </t>
  </si>
  <si>
    <t xml:space="preserve">KOUSHANI SAMANTA </t>
  </si>
  <si>
    <t xml:space="preserve">RANA CHAKRABORTY </t>
  </si>
  <si>
    <t xml:space="preserve">SAIMON MALLICK </t>
  </si>
  <si>
    <t xml:space="preserve">SOURADIPTA  GOLDAR </t>
  </si>
  <si>
    <t xml:space="preserve">BAPAN BAIRAGYA </t>
  </si>
  <si>
    <t xml:space="preserve">SUBHOJIT HANSDA </t>
  </si>
  <si>
    <t xml:space="preserve">SUKRITI PRAMANIK </t>
  </si>
  <si>
    <t xml:space="preserve">JUHI ROY </t>
  </si>
  <si>
    <t xml:space="preserve">ESHA ROY </t>
  </si>
  <si>
    <t xml:space="preserve">ANKITA CHATTERJEE </t>
  </si>
  <si>
    <t xml:space="preserve">ANKUR DAS </t>
  </si>
  <si>
    <t xml:space="preserve">ANKUSH KARMAKAR </t>
  </si>
  <si>
    <t xml:space="preserve">SHARIB MALLICK </t>
  </si>
  <si>
    <t xml:space="preserve">Avirup Mondal </t>
  </si>
  <si>
    <t>Aarya Ghosh</t>
  </si>
  <si>
    <t xml:space="preserve">Subha jit malik </t>
  </si>
  <si>
    <t>KANISKA KAR</t>
  </si>
  <si>
    <t>KOUSHANI KAR</t>
  </si>
  <si>
    <t>NILADRI DAS</t>
  </si>
  <si>
    <t>Rishik Dey</t>
  </si>
  <si>
    <t>Tanishka Roy</t>
  </si>
  <si>
    <t>Debolina Swain</t>
  </si>
  <si>
    <t>Mehuli Das</t>
  </si>
  <si>
    <t>Trijal Paik</t>
  </si>
  <si>
    <t xml:space="preserve">Samyo Bhattacharya </t>
  </si>
  <si>
    <t xml:space="preserve">Anuska Chakraborty </t>
  </si>
  <si>
    <t xml:space="preserve">SAIKAT  KIRTANIYA </t>
  </si>
  <si>
    <t>POULAMI  MONDAL</t>
  </si>
  <si>
    <t>SIKHA ROY MALIK</t>
  </si>
  <si>
    <t>SRINIDHI DUTTA</t>
  </si>
  <si>
    <t>ABHIPRITHI DUTTA</t>
  </si>
  <si>
    <t xml:space="preserve">ANKIT GOSWAMI </t>
  </si>
  <si>
    <t>SRIJITA GOP</t>
  </si>
  <si>
    <t xml:space="preserve">SANAYA DAS </t>
  </si>
  <si>
    <t xml:space="preserve">RUDRA GHOSH </t>
  </si>
  <si>
    <t>Divyam Mandal</t>
  </si>
  <si>
    <t>AMAN MAHATA</t>
  </si>
  <si>
    <t>Mousam Das</t>
  </si>
  <si>
    <t>SUJAN ROY</t>
  </si>
  <si>
    <t>PSKA</t>
  </si>
  <si>
    <t>Debnath Kshetrapal</t>
  </si>
  <si>
    <t>Ved Banerjee</t>
  </si>
  <si>
    <t xml:space="preserve">Priyanshu Sarkar </t>
  </si>
  <si>
    <t xml:space="preserve">Isha Das </t>
  </si>
  <si>
    <t xml:space="preserve">Supratim Dey </t>
  </si>
  <si>
    <t xml:space="preserve">Payel Biswas </t>
  </si>
  <si>
    <t xml:space="preserve">Barnali Biswas </t>
  </si>
  <si>
    <t xml:space="preserve">Koyel Biswas </t>
  </si>
  <si>
    <t>Manisha Malo</t>
  </si>
  <si>
    <t xml:space="preserve">Rahul Dutta </t>
  </si>
  <si>
    <t>Ankush Sarkar</t>
  </si>
  <si>
    <t>MAINAK CHAKRABORTY</t>
  </si>
  <si>
    <t>Chandana Das</t>
  </si>
  <si>
    <t xml:space="preserve">Prithyis Debnath </t>
  </si>
  <si>
    <t>Debjit Modak</t>
  </si>
  <si>
    <t>ANKITA ROY</t>
  </si>
  <si>
    <t xml:space="preserve">PREETAM BAG </t>
  </si>
  <si>
    <t xml:space="preserve">RUDRANI SAMANTA </t>
  </si>
  <si>
    <t>MAHARUDRA SAMANTA</t>
  </si>
  <si>
    <t>AYUSHMAN DEY</t>
  </si>
  <si>
    <t xml:space="preserve">Brown </t>
  </si>
  <si>
    <t xml:space="preserve">ARADHYA SHAW </t>
  </si>
  <si>
    <t xml:space="preserve">SL.NO. </t>
  </si>
  <si>
    <t>Snehil Kundu</t>
  </si>
  <si>
    <t>Supratik Karmakar</t>
  </si>
  <si>
    <t>Aloke Roy</t>
  </si>
  <si>
    <t>Sinjon Sadhukhan</t>
  </si>
  <si>
    <t>Wriddhiman Das</t>
  </si>
  <si>
    <t>Srinesh Karmakar</t>
  </si>
  <si>
    <t>Debjyoti Dhali</t>
  </si>
  <si>
    <t>Mrinmoy Majumder</t>
  </si>
  <si>
    <t>Ushoshi Mondel</t>
  </si>
  <si>
    <t>Rayma Mondel</t>
  </si>
  <si>
    <t>Indrani talukder</t>
  </si>
  <si>
    <t>DIGANTA KUNDU</t>
  </si>
  <si>
    <t>PRITHU MONDAL</t>
  </si>
  <si>
    <t>SHIBAM NAYEK</t>
  </si>
  <si>
    <t>AHANA DASKAMAKAR</t>
  </si>
  <si>
    <t>SHRESTHANSHI PAL</t>
  </si>
  <si>
    <t>SUVROKANTI MONDAL</t>
  </si>
  <si>
    <t>ASHMITA MOHANTA</t>
  </si>
  <si>
    <t>DIPAK PRASAD</t>
  </si>
  <si>
    <t>SPCKC</t>
  </si>
  <si>
    <t>BAGKC</t>
  </si>
  <si>
    <t>KSKC</t>
  </si>
  <si>
    <t>SIDDHARTHA DAS KARMAKAR</t>
  </si>
  <si>
    <t>ASKA (BALARAMPUR)</t>
  </si>
  <si>
    <t>AMIT BIKRAM MISHRA</t>
  </si>
  <si>
    <t>ROUNAK SHAW</t>
  </si>
  <si>
    <t>PRITAM BISWAS</t>
  </si>
  <si>
    <t>ANKAN DEY</t>
  </si>
  <si>
    <t>Anshuman Rana</t>
  </si>
  <si>
    <t xml:space="preserve">Sayan Sen </t>
  </si>
  <si>
    <t>ANIK MISTIRI</t>
  </si>
  <si>
    <t xml:space="preserve">Ayantik Ghosh </t>
  </si>
  <si>
    <t>ANGANA SARKAR</t>
  </si>
  <si>
    <t>Koushiki De</t>
  </si>
  <si>
    <t>Arijit Malo</t>
  </si>
  <si>
    <t xml:space="preserve">SANKAR ROUTH </t>
  </si>
  <si>
    <t>ARNAB   MAJUMDAR</t>
  </si>
  <si>
    <t>SUNDARLAL TUDU</t>
  </si>
  <si>
    <t>RESHAM KHATUN</t>
  </si>
  <si>
    <t>RAJDEEP MAL</t>
  </si>
  <si>
    <t xml:space="preserve">PROTIVA YADAV </t>
  </si>
  <si>
    <t>KAVYA YADAV</t>
  </si>
  <si>
    <t>AYUSHI GAIN</t>
  </si>
  <si>
    <t>SRIPARNA CHANDRA</t>
  </si>
  <si>
    <t xml:space="preserve">RAI KISARI BANERJEE </t>
  </si>
  <si>
    <t xml:space="preserve">FEMALE </t>
  </si>
  <si>
    <t>PURPLE</t>
  </si>
  <si>
    <t xml:space="preserve">BROWN GOLD </t>
  </si>
  <si>
    <t xml:space="preserve">BROWN </t>
  </si>
  <si>
    <t xml:space="preserve">GREEN </t>
  </si>
  <si>
    <t>BOTH</t>
  </si>
  <si>
    <t>Riya dey</t>
  </si>
  <si>
    <t>FEMALE</t>
  </si>
  <si>
    <t xml:space="preserve">Monojit Murmu </t>
  </si>
  <si>
    <t>NUPUR DAS</t>
  </si>
  <si>
    <t>SOUMYODIP CHAKRABORTY</t>
  </si>
  <si>
    <t>GREEN</t>
  </si>
  <si>
    <t>MEDALS</t>
  </si>
  <si>
    <t>Gold</t>
  </si>
  <si>
    <t>Silver</t>
  </si>
  <si>
    <t>Bronze</t>
  </si>
  <si>
    <t>AGE</t>
  </si>
  <si>
    <t>1. Total weight of all students</t>
  </si>
  <si>
    <t>6. Count male students</t>
  </si>
  <si>
    <t>7. Count female students</t>
  </si>
  <si>
    <t>8. Count Bronze medal students</t>
  </si>
  <si>
    <t>9. Count Silver medal students</t>
  </si>
  <si>
    <t>10. Count Gold medal students</t>
  </si>
  <si>
    <t>2. Total weight of Gold medal students</t>
  </si>
  <si>
    <t>5. Count total students</t>
  </si>
  <si>
    <t>4. Find belt using student name</t>
  </si>
  <si>
    <t>3. Total  female Black belt students</t>
  </si>
  <si>
    <t>Row Labels</t>
  </si>
  <si>
    <t>Grand Total</t>
  </si>
  <si>
    <t>Belt-wise gender distribution of students.</t>
  </si>
  <si>
    <t>Sum of AGE</t>
  </si>
  <si>
    <t>Age-belt distribution of students</t>
  </si>
  <si>
    <r>
      <rPr>
        <b/>
        <sz val="10"/>
        <color rgb="FF000000"/>
        <rFont val="Arial"/>
        <family val="2"/>
        <scheme val="minor"/>
      </rPr>
      <t>0-10</t>
    </r>
    <r>
      <rPr>
        <sz val="10"/>
        <color rgb="FF000000"/>
        <rFont val="Arial"/>
        <family val="2"/>
        <scheme val="minor"/>
      </rPr>
      <t xml:space="preserve"> Students Age</t>
    </r>
  </si>
  <si>
    <r>
      <rPr>
        <b/>
        <sz val="10"/>
        <color rgb="FF000000"/>
        <rFont val="Arial"/>
        <family val="2"/>
        <scheme val="minor"/>
      </rPr>
      <t>11-20</t>
    </r>
    <r>
      <rPr>
        <sz val="10"/>
        <color rgb="FF000000"/>
        <rFont val="Arial"/>
        <family val="2"/>
        <scheme val="minor"/>
      </rPr>
      <t xml:space="preserve"> Students Age</t>
    </r>
  </si>
  <si>
    <r>
      <rPr>
        <b/>
        <sz val="10"/>
        <color rgb="FF000000"/>
        <rFont val="Arial"/>
        <family val="2"/>
        <scheme val="minor"/>
      </rPr>
      <t>21-30</t>
    </r>
    <r>
      <rPr>
        <sz val="10"/>
        <color rgb="FF000000"/>
        <rFont val="Arial"/>
        <family val="2"/>
        <scheme val="minor"/>
      </rPr>
      <t xml:space="preserve"> Students Age</t>
    </r>
  </si>
  <si>
    <r>
      <rPr>
        <b/>
        <sz val="10"/>
        <color rgb="FF000000"/>
        <rFont val="Arial"/>
        <family val="2"/>
        <scheme val="minor"/>
      </rPr>
      <t>31-40</t>
    </r>
    <r>
      <rPr>
        <sz val="10"/>
        <color rgb="FF000000"/>
        <rFont val="Arial"/>
        <family val="2"/>
        <scheme val="minor"/>
      </rPr>
      <t xml:space="preserve"> Students Age</t>
    </r>
  </si>
  <si>
    <r>
      <rPr>
        <b/>
        <sz val="10"/>
        <color rgb="FF000000"/>
        <rFont val="Arial"/>
        <family val="2"/>
        <scheme val="minor"/>
      </rPr>
      <t>41-50</t>
    </r>
    <r>
      <rPr>
        <sz val="10"/>
        <color rgb="FF000000"/>
        <rFont val="Arial"/>
        <family val="2"/>
        <scheme val="minor"/>
      </rPr>
      <t xml:space="preserve"> Students Age</t>
    </r>
  </si>
  <si>
    <t>Total Male Students</t>
  </si>
  <si>
    <t>Total Female Students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</si>
</sst>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4" formatCode="_ &quot;₹&quot;\ * #,##0.00_ ;_ &quot;₹&quot;\ * \-#,##0.00_ ;_ &quot;₹&quot;\ * &quot;-&quot;??_ ;_ @_ "/>
  </numFmts>
  <fonts count="11" x14ac:knownFonts="1">
    <font>
      <sz val="10"/>
      <color rgb="FF000000"/>
      <name val="Arial"/>
      <scheme val="minor"/>
    </font>
    <font>
      <sz val="11"/>
      <color theme="1"/>
      <name val="Arial"/>
      <family val="2"/>
      <scheme val="minor"/>
    </font>
    <font>
      <sz val="10"/>
      <color theme="1"/>
      <name val="Arial"/>
      <family val="2"/>
      <scheme val="minor"/>
    </font>
    <font>
      <sz val="10"/>
      <color rgb="FF000000"/>
      <name val="Arial"/>
      <family val="2"/>
      <scheme val="minor"/>
    </font>
    <font>
      <sz val="10"/>
      <color theme="1"/>
      <name val="Arial"/>
      <family val="2"/>
      <scheme val="minor"/>
    </font>
    <font>
      <b/>
      <sz val="10"/>
      <color theme="0"/>
      <name val="Arial"/>
      <family val="2"/>
      <scheme val="minor"/>
    </font>
    <font>
      <sz val="8"/>
      <name val="Arial"/>
      <family val="2"/>
      <scheme val="minor"/>
    </font>
    <font>
      <sz val="11"/>
      <color rgb="FF000000"/>
      <name val="Aptos Narrow"/>
      <family val="2"/>
    </font>
    <font>
      <b/>
      <sz val="10"/>
      <color rgb="FF000000"/>
      <name val="Arial"/>
      <family val="2"/>
      <scheme val="minor"/>
    </font>
    <font>
      <b/>
      <sz val="11"/>
      <color rgb="FF000000"/>
      <name val="Arial"/>
      <family val="2"/>
      <scheme val="minor"/>
    </font>
    <font>
      <sz val="11"/>
      <color rgb="FF000000"/>
      <name val="Arial"/>
      <family val="2"/>
      <scheme val="minor"/>
    </font>
  </fonts>
  <fills count="6">
    <fill>
      <patternFill patternType="none"/>
    </fill>
    <fill>
      <patternFill patternType="gray125"/>
    </fill>
    <fill>
      <patternFill patternType="solid">
        <fgColor rgb="FF5B3F86"/>
        <bgColor rgb="FF5B3F86"/>
      </patternFill>
    </fill>
    <fill>
      <patternFill patternType="solid">
        <fgColor rgb="FFFFFFFF"/>
        <bgColor rgb="FFFFFFFF"/>
      </patternFill>
    </fill>
    <fill>
      <patternFill patternType="solid">
        <fgColor rgb="FFF8F9FA"/>
        <bgColor rgb="FFF8F9FA"/>
      </patternFill>
    </fill>
    <fill>
      <patternFill patternType="solid">
        <fgColor rgb="FFFFFF00"/>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thin">
        <color indexed="64"/>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cellStyleXfs>
  <cellXfs count="92">
    <xf numFmtId="0" fontId="0" fillId="0" borderId="0" xfId="0"/>
    <xf numFmtId="0" fontId="2" fillId="0" borderId="0" xfId="0" applyFont="1" applyAlignment="1">
      <alignment horizontal="center" vertical="center"/>
    </xf>
    <xf numFmtId="0" fontId="2" fillId="0" borderId="0" xfId="0" applyFont="1" applyAlignment="1">
      <alignment horizontal="center"/>
    </xf>
    <xf numFmtId="14" fontId="2" fillId="0" borderId="0" xfId="0" applyNumberFormat="1" applyFont="1" applyAlignment="1">
      <alignment horizontal="center"/>
    </xf>
    <xf numFmtId="0" fontId="2" fillId="0" borderId="1" xfId="0" applyFont="1" applyBorder="1" applyAlignment="1">
      <alignment horizontal="center" vertical="center"/>
    </xf>
    <xf numFmtId="0" fontId="2" fillId="0" borderId="4" xfId="0" applyFont="1" applyBorder="1" applyAlignment="1">
      <alignment horizontal="left" vertical="center"/>
    </xf>
    <xf numFmtId="0" fontId="2" fillId="0" borderId="0" xfId="0" applyFont="1" applyAlignment="1">
      <alignment horizontal="left" vertical="center"/>
    </xf>
    <xf numFmtId="0" fontId="0" fillId="0" borderId="0" xfId="0" applyAlignment="1">
      <alignment horizontal="left" vertical="center"/>
    </xf>
    <xf numFmtId="0" fontId="0" fillId="0" borderId="1" xfId="0" applyBorder="1" applyAlignment="1">
      <alignment horizontal="center" vertical="center"/>
    </xf>
    <xf numFmtId="0" fontId="0" fillId="0" borderId="0" xfId="0" applyAlignment="1">
      <alignment horizontal="center" vertical="center"/>
    </xf>
    <xf numFmtId="14" fontId="2" fillId="0" borderId="0" xfId="0" applyNumberFormat="1" applyFont="1" applyAlignment="1">
      <alignment horizontal="left" vertical="center"/>
    </xf>
    <xf numFmtId="14" fontId="0" fillId="0" borderId="0" xfId="0" applyNumberFormat="1" applyAlignment="1">
      <alignment horizontal="left" vertical="center"/>
    </xf>
    <xf numFmtId="0" fontId="2" fillId="0" borderId="5" xfId="0" applyFont="1" applyBorder="1" applyAlignment="1">
      <alignment horizontal="center" vertical="center"/>
    </xf>
    <xf numFmtId="0" fontId="2" fillId="0" borderId="6" xfId="0" applyFont="1" applyBorder="1" applyAlignment="1">
      <alignment horizontal="left" vertical="center"/>
    </xf>
    <xf numFmtId="1" fontId="2" fillId="0" borderId="0" xfId="0" applyNumberFormat="1" applyFont="1" applyAlignment="1">
      <alignment horizontal="center" vertical="center"/>
    </xf>
    <xf numFmtId="1" fontId="0" fillId="0" borderId="0" xfId="0" applyNumberFormat="1" applyAlignment="1">
      <alignment horizontal="center" vertical="center"/>
    </xf>
    <xf numFmtId="0" fontId="3" fillId="0" borderId="1" xfId="0" applyFont="1" applyBorder="1" applyAlignment="1">
      <alignment horizontal="center" vertical="center" wrapText="1"/>
    </xf>
    <xf numFmtId="0" fontId="3" fillId="0" borderId="4" xfId="0" applyFont="1" applyBorder="1" applyAlignment="1">
      <alignment horizontal="left" vertical="center" wrapText="1"/>
    </xf>
    <xf numFmtId="0" fontId="4" fillId="0" borderId="1" xfId="0" applyFont="1" applyBorder="1" applyAlignment="1">
      <alignment horizontal="center" vertical="center"/>
    </xf>
    <xf numFmtId="0" fontId="4" fillId="0" borderId="4" xfId="0" applyFont="1" applyBorder="1" applyAlignment="1">
      <alignment horizontal="left" vertical="center"/>
    </xf>
    <xf numFmtId="0" fontId="5" fillId="2" borderId="1" xfId="0" applyFont="1" applyFill="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0" xfId="0" applyFont="1" applyAlignment="1">
      <alignment horizontal="center"/>
    </xf>
    <xf numFmtId="0" fontId="0" fillId="0" borderId="1" xfId="0" applyBorder="1" applyAlignment="1">
      <alignment horizontal="left" vertical="center"/>
    </xf>
    <xf numFmtId="0" fontId="2" fillId="4" borderId="1" xfId="0" applyFont="1" applyFill="1" applyBorder="1" applyAlignment="1">
      <alignment horizontal="center" vertical="center"/>
    </xf>
    <xf numFmtId="14" fontId="5" fillId="0" borderId="8" xfId="0" applyNumberFormat="1" applyFont="1" applyBorder="1" applyAlignment="1">
      <alignment horizontal="center" vertical="center"/>
    </xf>
    <xf numFmtId="14" fontId="2" fillId="0" borderId="9" xfId="0" applyNumberFormat="1" applyFont="1" applyBorder="1" applyAlignment="1">
      <alignment horizontal="left" vertical="center"/>
    </xf>
    <xf numFmtId="14" fontId="2" fillId="3" borderId="9" xfId="1" applyNumberFormat="1" applyFont="1" applyFill="1" applyBorder="1" applyAlignment="1">
      <alignment horizontal="left" vertical="center"/>
    </xf>
    <xf numFmtId="14" fontId="3" fillId="0" borderId="9" xfId="0" applyNumberFormat="1" applyFont="1" applyBorder="1" applyAlignment="1">
      <alignment horizontal="left" vertical="center"/>
    </xf>
    <xf numFmtId="14" fontId="4" fillId="0" borderId="9" xfId="0" applyNumberFormat="1" applyFont="1" applyBorder="1" applyAlignment="1">
      <alignment horizontal="left" vertical="center"/>
    </xf>
    <xf numFmtId="14" fontId="2" fillId="4" borderId="9" xfId="1" applyNumberFormat="1" applyFont="1" applyFill="1" applyBorder="1" applyAlignment="1">
      <alignment horizontal="left" vertical="center"/>
    </xf>
    <xf numFmtId="14" fontId="2" fillId="4" borderId="9" xfId="0" applyNumberFormat="1" applyFont="1" applyFill="1" applyBorder="1" applyAlignment="1">
      <alignment horizontal="left" vertical="center"/>
    </xf>
    <xf numFmtId="14" fontId="2" fillId="0" borderId="7" xfId="0" applyNumberFormat="1" applyFont="1" applyBorder="1" applyAlignment="1">
      <alignment horizontal="left" vertical="center"/>
    </xf>
    <xf numFmtId="0" fontId="5" fillId="0" borderId="10" xfId="0" applyFont="1" applyBorder="1" applyAlignment="1">
      <alignment horizontal="center" vertical="center"/>
    </xf>
    <xf numFmtId="0" fontId="5" fillId="0" borderId="11" xfId="0" applyFont="1" applyBorder="1" applyAlignment="1">
      <alignment horizontal="center" vertical="center"/>
    </xf>
    <xf numFmtId="0" fontId="2" fillId="0" borderId="12" xfId="0" applyFont="1" applyBorder="1" applyAlignment="1">
      <alignment horizontal="left" vertical="center"/>
    </xf>
    <xf numFmtId="0" fontId="4" fillId="0" borderId="12" xfId="0" applyFont="1" applyBorder="1" applyAlignment="1">
      <alignment horizontal="left" vertical="center"/>
    </xf>
    <xf numFmtId="0" fontId="2" fillId="0" borderId="13" xfId="0" applyFont="1" applyBorder="1" applyAlignment="1">
      <alignment horizontal="left" vertical="center"/>
    </xf>
    <xf numFmtId="0" fontId="3" fillId="0" borderId="12" xfId="0" applyFont="1" applyBorder="1" applyAlignment="1">
      <alignment horizontal="left" vertical="center" wrapText="1"/>
    </xf>
    <xf numFmtId="0" fontId="0" fillId="0" borderId="12" xfId="0" applyBorder="1"/>
    <xf numFmtId="0" fontId="2" fillId="0" borderId="14" xfId="0" applyFont="1" applyBorder="1" applyAlignment="1">
      <alignment horizontal="left" vertical="center"/>
    </xf>
    <xf numFmtId="0" fontId="2" fillId="0" borderId="15" xfId="0" applyFont="1" applyBorder="1" applyAlignment="1">
      <alignment horizontal="left" vertical="center"/>
    </xf>
    <xf numFmtId="0" fontId="0" fillId="0" borderId="16" xfId="0" applyBorder="1" applyAlignment="1">
      <alignment horizontal="left" vertical="center"/>
    </xf>
    <xf numFmtId="0" fontId="2" fillId="0" borderId="4" xfId="0" applyFont="1" applyBorder="1" applyAlignment="1">
      <alignment horizontal="center" vertical="center"/>
    </xf>
    <xf numFmtId="1" fontId="2" fillId="0" borderId="9" xfId="0" applyNumberFormat="1" applyFont="1" applyBorder="1" applyAlignment="1">
      <alignment horizontal="center" vertical="center"/>
    </xf>
    <xf numFmtId="0" fontId="7" fillId="0" borderId="0" xfId="0" applyFont="1"/>
    <xf numFmtId="0" fontId="3" fillId="0" borderId="0" xfId="0" applyFont="1"/>
    <xf numFmtId="0" fontId="0" fillId="0" borderId="18" xfId="0" pivotButton="1" applyBorder="1"/>
    <xf numFmtId="0" fontId="0" fillId="0" borderId="20" xfId="0" applyBorder="1"/>
    <xf numFmtId="0" fontId="0" fillId="0" borderId="18" xfId="0" applyBorder="1" applyAlignment="1">
      <alignment horizontal="left"/>
    </xf>
    <xf numFmtId="0" fontId="0" fillId="0" borderId="23" xfId="0" applyBorder="1" applyAlignment="1">
      <alignment horizontal="left"/>
    </xf>
    <xf numFmtId="1" fontId="0" fillId="0" borderId="22" xfId="0" applyNumberFormat="1" applyBorder="1"/>
    <xf numFmtId="1" fontId="0" fillId="0" borderId="20" xfId="0" applyNumberFormat="1" applyBorder="1"/>
    <xf numFmtId="1" fontId="0" fillId="0" borderId="21" xfId="0" applyNumberFormat="1" applyBorder="1"/>
    <xf numFmtId="0" fontId="0" fillId="0" borderId="19" xfId="0" applyBorder="1" applyAlignment="1">
      <alignment horizontal="left" indent="1"/>
    </xf>
    <xf numFmtId="0" fontId="0" fillId="0" borderId="19" xfId="0" applyBorder="1" applyAlignment="1">
      <alignment horizontal="left" indent="2"/>
    </xf>
    <xf numFmtId="0" fontId="0" fillId="0" borderId="13" xfId="0" applyBorder="1" applyAlignment="1">
      <alignment horizontal="center"/>
    </xf>
    <xf numFmtId="0" fontId="0" fillId="0" borderId="27" xfId="0" applyBorder="1" applyAlignment="1">
      <alignment horizontal="center"/>
    </xf>
    <xf numFmtId="0" fontId="3" fillId="0" borderId="13" xfId="0" applyFont="1" applyBorder="1" applyAlignment="1">
      <alignment horizontal="center"/>
    </xf>
    <xf numFmtId="0" fontId="0" fillId="0" borderId="28"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9" fillId="0" borderId="24" xfId="0" applyFont="1" applyBorder="1" applyAlignment="1">
      <alignment horizontal="center"/>
    </xf>
    <xf numFmtId="0" fontId="0" fillId="0" borderId="1" xfId="0" applyBorder="1" applyAlignment="1">
      <alignment horizontal="center"/>
    </xf>
    <xf numFmtId="0" fontId="7" fillId="5" borderId="1" xfId="0" applyFont="1" applyFill="1" applyBorder="1" applyAlignment="1">
      <alignment horizontal="center"/>
    </xf>
    <xf numFmtId="0" fontId="7" fillId="5" borderId="4" xfId="0" applyFont="1" applyFill="1" applyBorder="1" applyAlignment="1">
      <alignment horizontal="center"/>
    </xf>
    <xf numFmtId="0" fontId="7" fillId="5" borderId="17" xfId="0" applyFont="1" applyFill="1" applyBorder="1" applyAlignment="1">
      <alignment horizontal="center"/>
    </xf>
    <xf numFmtId="0" fontId="7" fillId="5" borderId="9" xfId="0" applyFont="1" applyFill="1" applyBorder="1" applyAlignment="1">
      <alignment horizontal="center"/>
    </xf>
    <xf numFmtId="0" fontId="0" fillId="0" borderId="4" xfId="0" applyBorder="1" applyAlignment="1">
      <alignment horizontal="center"/>
    </xf>
    <xf numFmtId="0" fontId="0" fillId="0" borderId="17" xfId="0" applyBorder="1" applyAlignment="1">
      <alignment horizontal="center"/>
    </xf>
    <xf numFmtId="0" fontId="0" fillId="0" borderId="9" xfId="0" applyBorder="1" applyAlignment="1">
      <alignment horizontal="center"/>
    </xf>
    <xf numFmtId="0" fontId="3" fillId="5" borderId="1" xfId="0" applyFont="1" applyFill="1" applyBorder="1" applyAlignment="1">
      <alignment horizontal="center"/>
    </xf>
    <xf numFmtId="0" fontId="0" fillId="0" borderId="18" xfId="0" pivotButton="1" applyFont="1" applyBorder="1" applyAlignment="1"/>
    <xf numFmtId="0" fontId="0" fillId="0" borderId="20" xfId="0" applyFont="1" applyBorder="1" applyAlignment="1"/>
    <xf numFmtId="0" fontId="0" fillId="0" borderId="18" xfId="0" applyFont="1" applyBorder="1" applyAlignment="1"/>
    <xf numFmtId="0" fontId="0" fillId="0" borderId="20" xfId="0" applyNumberFormat="1" applyFont="1" applyBorder="1" applyAlignment="1"/>
    <xf numFmtId="0" fontId="0" fillId="0" borderId="21" xfId="0" applyNumberFormat="1" applyFont="1" applyBorder="1" applyAlignment="1"/>
    <xf numFmtId="0" fontId="0" fillId="0" borderId="23" xfId="0" applyFont="1" applyBorder="1" applyAlignment="1"/>
    <xf numFmtId="0" fontId="0" fillId="0" borderId="22" xfId="0" applyNumberFormat="1" applyFont="1" applyBorder="1" applyAlignment="1"/>
    <xf numFmtId="44" fontId="0" fillId="0" borderId="19" xfId="0" applyNumberFormat="1" applyFont="1" applyBorder="1" applyAlignment="1"/>
    <xf numFmtId="0" fontId="0" fillId="0" borderId="0" xfId="0" applyBorder="1" applyAlignment="1">
      <alignment horizontal="center"/>
    </xf>
    <xf numFmtId="0" fontId="9" fillId="0" borderId="25" xfId="0" applyFont="1" applyBorder="1" applyAlignment="1">
      <alignment horizontal="center"/>
    </xf>
    <xf numFmtId="0" fontId="9" fillId="0" borderId="26" xfId="0" applyFont="1" applyBorder="1" applyAlignment="1">
      <alignment horizontal="center"/>
    </xf>
    <xf numFmtId="0" fontId="10" fillId="0" borderId="13" xfId="0" applyFont="1" applyBorder="1" applyAlignment="1">
      <alignment horizontal="center"/>
    </xf>
    <xf numFmtId="0" fontId="10" fillId="0" borderId="0" xfId="0" applyFont="1" applyBorder="1" applyAlignment="1">
      <alignment horizontal="center"/>
    </xf>
    <xf numFmtId="0" fontId="3" fillId="0" borderId="0" xfId="0" applyFont="1" applyBorder="1" applyAlignment="1">
      <alignment horizontal="center"/>
    </xf>
    <xf numFmtId="0" fontId="3" fillId="0" borderId="27" xfId="0" applyFont="1" applyBorder="1" applyAlignment="1">
      <alignment horizontal="center"/>
    </xf>
    <xf numFmtId="0" fontId="10" fillId="0" borderId="27" xfId="0" applyFont="1" applyBorder="1" applyAlignment="1">
      <alignment horizontal="center"/>
    </xf>
    <xf numFmtId="0" fontId="10" fillId="0" borderId="28" xfId="0" applyFont="1" applyBorder="1" applyAlignment="1">
      <alignment horizontal="center"/>
    </xf>
    <xf numFmtId="0" fontId="10" fillId="0" borderId="29" xfId="0" applyFont="1" applyBorder="1" applyAlignment="1">
      <alignment horizontal="center"/>
    </xf>
    <xf numFmtId="0" fontId="10" fillId="0" borderId="30" xfId="0" applyFont="1" applyBorder="1" applyAlignment="1">
      <alignment horizontal="center"/>
    </xf>
  </cellXfs>
  <cellStyles count="2">
    <cellStyle name="Normal" xfId="0" builtinId="0"/>
    <cellStyle name="Normal 2" xfId="1" xr:uid="{D9CCB610-A0C1-4528-A5A7-63988DA71790}"/>
  </cellStyles>
  <dxfs count="327">
    <dxf>
      <fill>
        <patternFill>
          <bgColor rgb="FF00B0F0"/>
        </patternFill>
      </fill>
    </dxf>
    <dxf>
      <fill>
        <patternFill>
          <bgColor theme="2" tint="-0.34998626667073579"/>
        </patternFill>
      </fill>
    </dxf>
    <dxf>
      <fill>
        <patternFill>
          <bgColor theme="2" tint="-0.34998626667073579"/>
        </patternFill>
      </fill>
    </dxf>
    <dxf>
      <fill>
        <patternFill>
          <bgColor theme="6"/>
        </patternFill>
      </fill>
    </dxf>
    <dxf>
      <fill>
        <patternFill>
          <bgColor theme="4" tint="0.39994506668294322"/>
        </patternFill>
      </fill>
    </dxf>
    <dxf>
      <fill>
        <patternFill>
          <bgColor theme="4" tint="0.39994506668294322"/>
        </patternFill>
      </fill>
    </dxf>
    <dxf>
      <fill>
        <patternFill>
          <bgColor rgb="FF92D050"/>
        </patternFill>
      </fill>
    </dxf>
    <dxf>
      <font>
        <sz val="16"/>
      </font>
    </dxf>
    <dxf>
      <font>
        <sz val="16"/>
      </font>
    </dxf>
    <dxf>
      <font>
        <sz val="16"/>
      </font>
    </dxf>
    <dxf>
      <font>
        <sz val="16"/>
      </font>
    </dxf>
    <dxf>
      <font>
        <sz val="16"/>
      </font>
    </dxf>
    <dxf>
      <font>
        <sz val="16"/>
      </font>
    </dxf>
    <dxf>
      <alignment horizontal="general"/>
    </dxf>
    <dxf>
      <alignment horizontal="general"/>
    </dxf>
    <dxf>
      <alignment horizontal="general"/>
    </dxf>
    <dxf>
      <alignment horizontal="general"/>
    </dxf>
    <dxf>
      <alignment horizontal="general"/>
    </dxf>
    <dxf>
      <alignment horizontal="general"/>
    </dxf>
    <dxf>
      <font>
        <sz val="10"/>
      </font>
    </dxf>
    <dxf>
      <font>
        <sz val="10"/>
      </font>
    </dxf>
    <dxf>
      <font>
        <sz val="10"/>
      </font>
    </dxf>
    <dxf>
      <font>
        <sz val="10"/>
      </font>
    </dxf>
    <dxf>
      <font>
        <sz val="10"/>
      </font>
    </dxf>
    <dxf>
      <font>
        <sz val="10"/>
      </font>
    </dxf>
    <dxf>
      <numFmt numFmtId="34" formatCode="_ &quot;₹&quot;\ * #,##0.00_ ;_ &quot;₹&quot;\ * \-#,##0.00_ ;_ &quot;₹&quot;\ * &quot;-&quot;??_ ;_ @_ "/>
    </dxf>
    <dxf>
      <font>
        <sz val="16"/>
      </font>
    </dxf>
    <dxf>
      <font>
        <sz val="16"/>
      </font>
    </dxf>
    <dxf>
      <font>
        <sz val="16"/>
      </font>
    </dxf>
    <dxf>
      <font>
        <sz val="16"/>
      </font>
    </dxf>
    <dxf>
      <font>
        <sz val="16"/>
      </font>
    </dxf>
    <dxf>
      <font>
        <sz val="16"/>
      </font>
    </dxf>
    <dxf>
      <alignment horizontal="general"/>
    </dxf>
    <dxf>
      <alignment horizontal="general"/>
    </dxf>
    <dxf>
      <alignment horizontal="general"/>
    </dxf>
    <dxf>
      <alignment horizontal="general"/>
    </dxf>
    <dxf>
      <alignment horizontal="general"/>
    </dxf>
    <dxf>
      <alignment horizontal="general"/>
    </dxf>
    <dxf>
      <font>
        <sz val="10"/>
      </font>
    </dxf>
    <dxf>
      <font>
        <sz val="10"/>
      </font>
    </dxf>
    <dxf>
      <font>
        <sz val="10"/>
      </font>
    </dxf>
    <dxf>
      <font>
        <sz val="10"/>
      </font>
    </dxf>
    <dxf>
      <font>
        <sz val="10"/>
      </font>
    </dxf>
    <dxf>
      <font>
        <sz val="10"/>
      </font>
    </dxf>
    <dxf>
      <numFmt numFmtId="34" formatCode="_ &quot;₹&quot;\ * #,##0.00_ ;_ &quot;₹&quot;\ * \-#,##0.00_ ;_ &quot;₹&quot;\ * &quot;-&quot;??_ ;_ @_ "/>
    </dxf>
    <dxf>
      <font>
        <sz val="16"/>
      </font>
    </dxf>
    <dxf>
      <font>
        <sz val="16"/>
      </font>
    </dxf>
    <dxf>
      <font>
        <sz val="16"/>
      </font>
    </dxf>
    <dxf>
      <font>
        <sz val="16"/>
      </font>
    </dxf>
    <dxf>
      <font>
        <sz val="16"/>
      </font>
    </dxf>
    <dxf>
      <font>
        <sz val="16"/>
      </font>
    </dxf>
    <dxf>
      <alignment horizontal="general"/>
    </dxf>
    <dxf>
      <alignment horizontal="general"/>
    </dxf>
    <dxf>
      <alignment horizontal="general"/>
    </dxf>
    <dxf>
      <alignment horizontal="general"/>
    </dxf>
    <dxf>
      <alignment horizontal="general"/>
    </dxf>
    <dxf>
      <alignment horizontal="general"/>
    </dxf>
    <dxf>
      <font>
        <sz val="10"/>
      </font>
    </dxf>
    <dxf>
      <font>
        <sz val="10"/>
      </font>
    </dxf>
    <dxf>
      <font>
        <sz val="10"/>
      </font>
    </dxf>
    <dxf>
      <font>
        <sz val="10"/>
      </font>
    </dxf>
    <dxf>
      <font>
        <sz val="10"/>
      </font>
    </dxf>
    <dxf>
      <font>
        <sz val="10"/>
      </font>
    </dxf>
    <dxf>
      <numFmt numFmtId="34" formatCode="_ &quot;₹&quot;\ * #,##0.00_ ;_ &quot;₹&quot;\ * \-#,##0.00_ ;_ &quot;₹&quot;\ * &quot;-&quot;??_ ;_ @_ "/>
    </dxf>
    <dxf>
      <font>
        <sz val="16"/>
      </font>
    </dxf>
    <dxf>
      <font>
        <sz val="16"/>
      </font>
    </dxf>
    <dxf>
      <font>
        <sz val="16"/>
      </font>
    </dxf>
    <dxf>
      <font>
        <sz val="16"/>
      </font>
    </dxf>
    <dxf>
      <font>
        <sz val="16"/>
      </font>
    </dxf>
    <dxf>
      <font>
        <sz val="16"/>
      </font>
    </dxf>
    <dxf>
      <alignment horizontal="general"/>
    </dxf>
    <dxf>
      <alignment horizontal="general"/>
    </dxf>
    <dxf>
      <alignment horizontal="general"/>
    </dxf>
    <dxf>
      <alignment horizontal="general"/>
    </dxf>
    <dxf>
      <alignment horizontal="general"/>
    </dxf>
    <dxf>
      <alignment horizontal="general"/>
    </dxf>
    <dxf>
      <font>
        <sz val="10"/>
      </font>
    </dxf>
    <dxf>
      <font>
        <sz val="10"/>
      </font>
    </dxf>
    <dxf>
      <font>
        <sz val="10"/>
      </font>
    </dxf>
    <dxf>
      <font>
        <sz val="10"/>
      </font>
    </dxf>
    <dxf>
      <font>
        <sz val="10"/>
      </font>
    </dxf>
    <dxf>
      <font>
        <sz val="10"/>
      </font>
    </dxf>
    <dxf>
      <numFmt numFmtId="34" formatCode="_ &quot;₹&quot;\ * #,##0.00_ ;_ &quot;₹&quot;\ * \-#,##0.00_ ;_ &quot;₹&quot;\ * &quot;-&quot;??_ ;_ @_ "/>
    </dxf>
    <dxf>
      <font>
        <sz val="16"/>
      </font>
    </dxf>
    <dxf>
      <font>
        <sz val="16"/>
      </font>
    </dxf>
    <dxf>
      <font>
        <sz val="16"/>
      </font>
    </dxf>
    <dxf>
      <font>
        <sz val="16"/>
      </font>
    </dxf>
    <dxf>
      <font>
        <sz val="16"/>
      </font>
    </dxf>
    <dxf>
      <font>
        <sz val="16"/>
      </font>
    </dxf>
    <dxf>
      <alignment horizontal="general"/>
    </dxf>
    <dxf>
      <alignment horizontal="general"/>
    </dxf>
    <dxf>
      <alignment horizontal="general"/>
    </dxf>
    <dxf>
      <alignment horizontal="general"/>
    </dxf>
    <dxf>
      <alignment horizontal="general"/>
    </dxf>
    <dxf>
      <alignment horizontal="general"/>
    </dxf>
    <dxf>
      <font>
        <sz val="10"/>
      </font>
    </dxf>
    <dxf>
      <font>
        <sz val="10"/>
      </font>
    </dxf>
    <dxf>
      <font>
        <sz val="10"/>
      </font>
    </dxf>
    <dxf>
      <font>
        <sz val="10"/>
      </font>
    </dxf>
    <dxf>
      <font>
        <sz val="10"/>
      </font>
    </dxf>
    <dxf>
      <font>
        <sz val="10"/>
      </font>
    </dxf>
    <dxf>
      <numFmt numFmtId="34" formatCode="_ &quot;₹&quot;\ * #,##0.00_ ;_ &quot;₹&quot;\ * \-#,##0.00_ ;_ &quot;₹&quot;\ * &quot;-&quot;??_ ;_ @_ "/>
    </dxf>
    <dxf>
      <font>
        <sz val="16"/>
      </font>
    </dxf>
    <dxf>
      <font>
        <sz val="16"/>
      </font>
    </dxf>
    <dxf>
      <font>
        <sz val="16"/>
      </font>
    </dxf>
    <dxf>
      <font>
        <sz val="16"/>
      </font>
    </dxf>
    <dxf>
      <font>
        <sz val="16"/>
      </font>
    </dxf>
    <dxf>
      <font>
        <sz val="16"/>
      </font>
    </dxf>
    <dxf>
      <alignment horizontal="general"/>
    </dxf>
    <dxf>
      <alignment horizontal="general"/>
    </dxf>
    <dxf>
      <alignment horizontal="general"/>
    </dxf>
    <dxf>
      <alignment horizontal="general"/>
    </dxf>
    <dxf>
      <alignment horizontal="general"/>
    </dxf>
    <dxf>
      <alignment horizontal="general"/>
    </dxf>
    <dxf>
      <font>
        <sz val="10"/>
      </font>
    </dxf>
    <dxf>
      <font>
        <sz val="10"/>
      </font>
    </dxf>
    <dxf>
      <font>
        <sz val="10"/>
      </font>
    </dxf>
    <dxf>
      <font>
        <sz val="10"/>
      </font>
    </dxf>
    <dxf>
      <font>
        <sz val="10"/>
      </font>
    </dxf>
    <dxf>
      <font>
        <sz val="10"/>
      </font>
    </dxf>
    <dxf>
      <numFmt numFmtId="34" formatCode="_ &quot;₹&quot;\ * #,##0.00_ ;_ &quot;₹&quot;\ * \-#,##0.00_ ;_ &quot;₹&quot;\ * &quot;-&quot;??_ ;_ @_ "/>
    </dxf>
    <dxf>
      <font>
        <sz val="16"/>
      </font>
    </dxf>
    <dxf>
      <font>
        <sz val="16"/>
      </font>
    </dxf>
    <dxf>
      <font>
        <sz val="16"/>
      </font>
    </dxf>
    <dxf>
      <font>
        <sz val="16"/>
      </font>
    </dxf>
    <dxf>
      <font>
        <sz val="16"/>
      </font>
    </dxf>
    <dxf>
      <font>
        <sz val="16"/>
      </font>
    </dxf>
    <dxf>
      <alignment horizontal="general"/>
    </dxf>
    <dxf>
      <alignment horizontal="general"/>
    </dxf>
    <dxf>
      <alignment horizontal="general"/>
    </dxf>
    <dxf>
      <alignment horizontal="general"/>
    </dxf>
    <dxf>
      <alignment horizontal="general"/>
    </dxf>
    <dxf>
      <alignment horizontal="general"/>
    </dxf>
    <dxf>
      <font>
        <sz val="10"/>
      </font>
    </dxf>
    <dxf>
      <font>
        <sz val="10"/>
      </font>
    </dxf>
    <dxf>
      <font>
        <sz val="10"/>
      </font>
    </dxf>
    <dxf>
      <font>
        <sz val="10"/>
      </font>
    </dxf>
    <dxf>
      <font>
        <sz val="10"/>
      </font>
    </dxf>
    <dxf>
      <font>
        <sz val="10"/>
      </font>
    </dxf>
    <dxf>
      <numFmt numFmtId="34" formatCode="_ &quot;₹&quot;\ * #,##0.00_ ;_ &quot;₹&quot;\ * \-#,##0.00_ ;_ &quot;₹&quot;\ * &quot;-&quot;??_ ;_ @_ "/>
    </dxf>
    <dxf>
      <font>
        <sz val="16"/>
      </font>
    </dxf>
    <dxf>
      <font>
        <sz val="16"/>
      </font>
    </dxf>
    <dxf>
      <font>
        <sz val="16"/>
      </font>
    </dxf>
    <dxf>
      <font>
        <sz val="16"/>
      </font>
    </dxf>
    <dxf>
      <font>
        <sz val="16"/>
      </font>
    </dxf>
    <dxf>
      <font>
        <sz val="16"/>
      </font>
    </dxf>
    <dxf>
      <alignment horizontal="general"/>
    </dxf>
    <dxf>
      <alignment horizontal="general"/>
    </dxf>
    <dxf>
      <alignment horizontal="general"/>
    </dxf>
    <dxf>
      <alignment horizontal="general"/>
    </dxf>
    <dxf>
      <alignment horizontal="general"/>
    </dxf>
    <dxf>
      <alignment horizontal="general"/>
    </dxf>
    <dxf>
      <font>
        <sz val="10"/>
      </font>
    </dxf>
    <dxf>
      <font>
        <sz val="10"/>
      </font>
    </dxf>
    <dxf>
      <font>
        <sz val="10"/>
      </font>
    </dxf>
    <dxf>
      <font>
        <sz val="10"/>
      </font>
    </dxf>
    <dxf>
      <font>
        <sz val="10"/>
      </font>
    </dxf>
    <dxf>
      <font>
        <sz val="10"/>
      </font>
    </dxf>
    <dxf>
      <numFmt numFmtId="34" formatCode="_ &quot;₹&quot;\ * #,##0.00_ ;_ &quot;₹&quot;\ * \-#,##0.00_ ;_ &quot;₹&quot;\ * &quot;-&quot;??_ ;_ @_ "/>
    </dxf>
    <dxf>
      <font>
        <sz val="16"/>
      </font>
    </dxf>
    <dxf>
      <font>
        <sz val="16"/>
      </font>
    </dxf>
    <dxf>
      <font>
        <sz val="16"/>
      </font>
    </dxf>
    <dxf>
      <font>
        <sz val="16"/>
      </font>
    </dxf>
    <dxf>
      <font>
        <sz val="16"/>
      </font>
    </dxf>
    <dxf>
      <font>
        <sz val="16"/>
      </font>
    </dxf>
    <dxf>
      <alignment horizontal="general"/>
    </dxf>
    <dxf>
      <alignment horizontal="general"/>
    </dxf>
    <dxf>
      <alignment horizontal="general"/>
    </dxf>
    <dxf>
      <alignment horizontal="general"/>
    </dxf>
    <dxf>
      <alignment horizontal="general"/>
    </dxf>
    <dxf>
      <alignment horizontal="general"/>
    </dxf>
    <dxf>
      <font>
        <sz val="10"/>
      </font>
    </dxf>
    <dxf>
      <font>
        <sz val="10"/>
      </font>
    </dxf>
    <dxf>
      <font>
        <sz val="10"/>
      </font>
    </dxf>
    <dxf>
      <font>
        <sz val="10"/>
      </font>
    </dxf>
    <dxf>
      <font>
        <sz val="10"/>
      </font>
    </dxf>
    <dxf>
      <font>
        <sz val="10"/>
      </font>
    </dxf>
    <dxf>
      <numFmt numFmtId="34" formatCode="_ &quot;₹&quot;\ * #,##0.00_ ;_ &quot;₹&quot;\ * \-#,##0.00_ ;_ &quot;₹&quot;\ * &quot;-&quot;??_ ;_ @_ "/>
    </dxf>
    <dxf>
      <font>
        <sz val="16"/>
      </font>
    </dxf>
    <dxf>
      <font>
        <sz val="16"/>
      </font>
    </dxf>
    <dxf>
      <font>
        <sz val="16"/>
      </font>
    </dxf>
    <dxf>
      <font>
        <sz val="16"/>
      </font>
    </dxf>
    <dxf>
      <font>
        <sz val="16"/>
      </font>
    </dxf>
    <dxf>
      <font>
        <sz val="16"/>
      </font>
    </dxf>
    <dxf>
      <alignment horizontal="general"/>
    </dxf>
    <dxf>
      <alignment horizontal="general"/>
    </dxf>
    <dxf>
      <alignment horizontal="general"/>
    </dxf>
    <dxf>
      <alignment horizontal="general"/>
    </dxf>
    <dxf>
      <alignment horizontal="general"/>
    </dxf>
    <dxf>
      <alignment horizontal="general"/>
    </dxf>
    <dxf>
      <font>
        <sz val="10"/>
      </font>
    </dxf>
    <dxf>
      <font>
        <sz val="10"/>
      </font>
    </dxf>
    <dxf>
      <font>
        <sz val="10"/>
      </font>
    </dxf>
    <dxf>
      <font>
        <sz val="10"/>
      </font>
    </dxf>
    <dxf>
      <font>
        <sz val="10"/>
      </font>
    </dxf>
    <dxf>
      <font>
        <sz val="10"/>
      </font>
    </dxf>
    <dxf>
      <numFmt numFmtId="34" formatCode="_ &quot;₹&quot;\ * #,##0.00_ ;_ &quot;₹&quot;\ * \-#,##0.00_ ;_ &quot;₹&quot;\ * &quot;-&quot;??_ ;_ @_ "/>
    </dxf>
    <dxf>
      <font>
        <sz val="16"/>
      </font>
    </dxf>
    <dxf>
      <font>
        <sz val="16"/>
      </font>
    </dxf>
    <dxf>
      <font>
        <sz val="16"/>
      </font>
    </dxf>
    <dxf>
      <font>
        <sz val="16"/>
      </font>
    </dxf>
    <dxf>
      <font>
        <sz val="16"/>
      </font>
    </dxf>
    <dxf>
      <font>
        <sz val="16"/>
      </font>
    </dxf>
    <dxf>
      <alignment horizontal="general"/>
    </dxf>
    <dxf>
      <alignment horizontal="general"/>
    </dxf>
    <dxf>
      <alignment horizontal="general"/>
    </dxf>
    <dxf>
      <alignment horizontal="general"/>
    </dxf>
    <dxf>
      <alignment horizontal="general"/>
    </dxf>
    <dxf>
      <alignment horizontal="general"/>
    </dxf>
    <dxf>
      <font>
        <sz val="10"/>
      </font>
    </dxf>
    <dxf>
      <font>
        <sz val="10"/>
      </font>
    </dxf>
    <dxf>
      <font>
        <sz val="10"/>
      </font>
    </dxf>
    <dxf>
      <font>
        <sz val="10"/>
      </font>
    </dxf>
    <dxf>
      <font>
        <sz val="10"/>
      </font>
    </dxf>
    <dxf>
      <font>
        <sz val="10"/>
      </font>
    </dxf>
    <dxf>
      <numFmt numFmtId="34" formatCode="_ &quot;₹&quot;\ * #,##0.00_ ;_ &quot;₹&quot;\ * \-#,##0.00_ ;_ &quot;₹&quot;\ * &quot;-&quot;??_ ;_ @_ "/>
    </dxf>
    <dxf>
      <font>
        <sz val="16"/>
      </font>
    </dxf>
    <dxf>
      <font>
        <sz val="16"/>
      </font>
    </dxf>
    <dxf>
      <font>
        <sz val="16"/>
      </font>
    </dxf>
    <dxf>
      <font>
        <sz val="16"/>
      </font>
    </dxf>
    <dxf>
      <font>
        <sz val="16"/>
      </font>
    </dxf>
    <dxf>
      <font>
        <sz val="16"/>
      </font>
    </dxf>
    <dxf>
      <alignment horizontal="general"/>
    </dxf>
    <dxf>
      <alignment horizontal="general"/>
    </dxf>
    <dxf>
      <alignment horizontal="general"/>
    </dxf>
    <dxf>
      <alignment horizontal="general"/>
    </dxf>
    <dxf>
      <alignment horizontal="general"/>
    </dxf>
    <dxf>
      <alignment horizontal="general"/>
    </dxf>
    <dxf>
      <font>
        <sz val="10"/>
      </font>
    </dxf>
    <dxf>
      <font>
        <sz val="10"/>
      </font>
    </dxf>
    <dxf>
      <font>
        <sz val="10"/>
      </font>
    </dxf>
    <dxf>
      <font>
        <sz val="10"/>
      </font>
    </dxf>
    <dxf>
      <font>
        <sz val="10"/>
      </font>
    </dxf>
    <dxf>
      <font>
        <sz val="10"/>
      </font>
    </dxf>
    <dxf>
      <numFmt numFmtId="34" formatCode="_ &quot;₹&quot;\ * #,##0.00_ ;_ &quot;₹&quot;\ * \-#,##0.00_ ;_ &quot;₹&quot;\ * &quot;-&quot;??_ ;_ @_ "/>
    </dxf>
    <dxf>
      <font>
        <sz val="16"/>
      </font>
    </dxf>
    <dxf>
      <font>
        <sz val="16"/>
      </font>
    </dxf>
    <dxf>
      <font>
        <sz val="16"/>
      </font>
    </dxf>
    <dxf>
      <font>
        <sz val="16"/>
      </font>
    </dxf>
    <dxf>
      <font>
        <sz val="16"/>
      </font>
    </dxf>
    <dxf>
      <font>
        <sz val="16"/>
      </font>
    </dxf>
    <dxf>
      <alignment horizontal="general"/>
    </dxf>
    <dxf>
      <alignment horizontal="general"/>
    </dxf>
    <dxf>
      <alignment horizontal="general"/>
    </dxf>
    <dxf>
      <alignment horizontal="general"/>
    </dxf>
    <dxf>
      <alignment horizontal="general"/>
    </dxf>
    <dxf>
      <alignment horizontal="general"/>
    </dxf>
    <dxf>
      <font>
        <sz val="10"/>
      </font>
    </dxf>
    <dxf>
      <font>
        <sz val="10"/>
      </font>
    </dxf>
    <dxf>
      <font>
        <sz val="10"/>
      </font>
    </dxf>
    <dxf>
      <font>
        <sz val="10"/>
      </font>
    </dxf>
    <dxf>
      <font>
        <sz val="10"/>
      </font>
    </dxf>
    <dxf>
      <font>
        <sz val="10"/>
      </font>
    </dxf>
    <dxf>
      <numFmt numFmtId="34" formatCode="_ &quot;₹&quot;\ * #,##0.00_ ;_ &quot;₹&quot;\ * \-#,##0.00_ ;_ &quot;₹&quot;\ * &quot;-&quot;??_ ;_ @_ "/>
    </dxf>
    <dxf>
      <font>
        <sz val="16"/>
      </font>
    </dxf>
    <dxf>
      <font>
        <sz val="16"/>
      </font>
    </dxf>
    <dxf>
      <font>
        <sz val="16"/>
      </font>
    </dxf>
    <dxf>
      <font>
        <sz val="16"/>
      </font>
    </dxf>
    <dxf>
      <font>
        <sz val="16"/>
      </font>
    </dxf>
    <dxf>
      <font>
        <sz val="16"/>
      </font>
    </dxf>
    <dxf>
      <alignment horizontal="general"/>
    </dxf>
    <dxf>
      <alignment horizontal="general"/>
    </dxf>
    <dxf>
      <alignment horizontal="general"/>
    </dxf>
    <dxf>
      <alignment horizontal="general"/>
    </dxf>
    <dxf>
      <alignment horizontal="general"/>
    </dxf>
    <dxf>
      <alignment horizontal="general"/>
    </dxf>
    <dxf>
      <font>
        <sz val="10"/>
      </font>
    </dxf>
    <dxf>
      <font>
        <sz val="10"/>
      </font>
    </dxf>
    <dxf>
      <font>
        <sz val="10"/>
      </font>
    </dxf>
    <dxf>
      <font>
        <sz val="10"/>
      </font>
    </dxf>
    <dxf>
      <font>
        <sz val="10"/>
      </font>
    </dxf>
    <dxf>
      <font>
        <sz val="10"/>
      </font>
    </dxf>
    <dxf>
      <numFmt numFmtId="34" formatCode="_ &quot;₹&quot;\ * #,##0.00_ ;_ &quot;₹&quot;\ * \-#,##0.00_ ;_ &quot;₹&quot;\ * &quot;-&quot;??_ ;_ @_ "/>
    </dxf>
    <dxf>
      <numFmt numFmtId="34" formatCode="_ &quot;₹&quot;\ * #,##0.00_ ;_ &quot;₹&quot;\ * \-#,##0.00_ ;_ &quot;₹&quot;\ * &quot;-&quot;??_ ;_ @_ "/>
    </dxf>
    <dxf>
      <fill>
        <gradientFill degree="90">
          <stop position="0">
            <color theme="0"/>
          </stop>
          <stop position="1">
            <color theme="4"/>
          </stop>
        </gradientFill>
      </fill>
    </dxf>
    <dxf>
      <fill>
        <patternFill>
          <bgColor theme="9" tint="0.39994506668294322"/>
        </patternFill>
      </fill>
    </dxf>
    <dxf>
      <font>
        <sz val="10"/>
      </font>
    </dxf>
    <dxf>
      <font>
        <sz val="10"/>
      </font>
    </dxf>
    <dxf>
      <font>
        <sz val="10"/>
      </font>
    </dxf>
    <dxf>
      <font>
        <sz val="10"/>
      </font>
    </dxf>
    <dxf>
      <font>
        <sz val="10"/>
      </font>
    </dxf>
    <dxf>
      <font>
        <sz val="10"/>
      </font>
    </dxf>
    <dxf>
      <alignment horizontal="general"/>
    </dxf>
    <dxf>
      <alignment horizontal="general"/>
    </dxf>
    <dxf>
      <alignment horizontal="general"/>
    </dxf>
    <dxf>
      <alignment horizontal="general"/>
    </dxf>
    <dxf>
      <alignment horizontal="general"/>
    </dxf>
    <dxf>
      <alignment horizontal="general"/>
    </dxf>
    <dxf>
      <font>
        <sz val="16"/>
      </font>
    </dxf>
    <dxf>
      <font>
        <sz val="16"/>
      </font>
    </dxf>
    <dxf>
      <font>
        <sz val="16"/>
      </font>
    </dxf>
    <dxf>
      <font>
        <sz val="16"/>
      </font>
    </dxf>
    <dxf>
      <font>
        <sz val="16"/>
      </font>
    </dxf>
    <dxf>
      <font>
        <sz val="16"/>
      </font>
    </dxf>
    <dxf>
      <font>
        <color theme="1"/>
      </font>
      <alignment horizontal="left" vertical="center" textRotation="0" wrapText="0" indent="0" justifyLastLine="0" shrinkToFit="0" readingOrder="0"/>
      <border diagonalUp="0" diagonalDown="0">
        <left style="medium">
          <color indexed="64"/>
        </left>
        <right/>
        <top style="thin">
          <color indexed="64"/>
        </top>
        <bottom style="thin">
          <color indexed="64"/>
        </bottom>
        <vertical/>
        <horizontal/>
      </border>
    </dxf>
    <dxf>
      <font>
        <color theme="1"/>
      </font>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Arial"/>
        <family val="2"/>
        <scheme val="minor"/>
      </font>
      <numFmt numFmtId="19" formatCode="dd/mm/yyyy"/>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numFmt numFmtId="19" formatCode="dd/mm/yyyy"/>
      <alignment horizontal="left"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0" indent="0" justifyLastLine="0" shrinkToFit="0" readingOrder="0"/>
      <border diagonalUp="0" diagonalDown="0" outline="0">
        <left style="thin">
          <color rgb="FF000000"/>
        </left>
        <right style="thin">
          <color rgb="FF000000"/>
        </right>
        <top/>
        <bottom/>
      </border>
    </dxf>
    <dxf>
      <border diagonalUp="0" diagonalDown="0">
        <left style="thin">
          <color rgb="FF000000"/>
        </left>
        <right style="thin">
          <color rgb="FF000000"/>
        </right>
        <top style="thin">
          <color rgb="FF000000"/>
        </top>
        <bottom style="thin">
          <color rgb="FF000000"/>
        </bottom>
      </border>
    </dxf>
    <dxf>
      <alignment vertical="center" textRotation="0" wrapText="0" indent="0" justifyLastLine="0" shrinkToFit="0" readingOrder="0"/>
    </dxf>
    <dxf>
      <border>
        <bottom style="thin">
          <color rgb="FF000000"/>
        </bottom>
      </border>
    </dxf>
    <dxf>
      <font>
        <b/>
        <strike val="0"/>
        <outline val="0"/>
        <shadow val="0"/>
        <u val="none"/>
        <vertAlign val="baseline"/>
        <sz val="10"/>
        <color theme="0"/>
        <name val="Arial"/>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font>
        <color theme="1"/>
      </font>
      <alignment horizontal="left" vertical="center" textRotation="0" wrapText="0" indent="0" justifyLastLine="0" shrinkToFit="0" readingOrder="0"/>
      <border diagonalUp="0" diagonalDown="0">
        <left style="medium">
          <color indexed="64"/>
        </left>
        <right/>
        <top style="thin">
          <color indexed="64"/>
        </top>
        <bottom style="thin">
          <color indexed="64"/>
        </bottom>
        <vertical/>
        <horizontal/>
      </border>
    </dxf>
    <dxf>
      <font>
        <color theme="1"/>
      </font>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theme="1"/>
        <name val="Arial"/>
        <family val="2"/>
        <scheme val="minor"/>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dd/mm/yyyy"/>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alignment vertical="center" textRotation="0" wrapText="0" indent="0" justifyLastLine="0" shrinkToFit="0" readingOrder="0"/>
    </dxf>
    <dxf>
      <border>
        <bottom style="thin">
          <color indexed="64"/>
        </bottom>
      </border>
    </dxf>
    <dxf>
      <font>
        <b/>
        <strike val="0"/>
        <outline val="0"/>
        <shadow val="0"/>
        <u val="none"/>
        <vertAlign val="baseline"/>
        <sz val="10"/>
        <color theme="0"/>
        <name val="Arial"/>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4">
    <tableStyle name="Form Responses 1-style" pivot="0" count="4" xr9:uid="{00000000-0011-0000-FFFF-FFFF00000000}">
      <tableStyleElement type="wholeTable" size="0" dxfId="326"/>
      <tableStyleElement type="headerRow" dxfId="325"/>
      <tableStyleElement type="firstRowStripe" dxfId="324"/>
      <tableStyleElement type="secondRowStripe" dxfId="323"/>
    </tableStyle>
    <tableStyle name="Slicer Style 1" pivot="0" table="0" count="1" xr9:uid="{44DEF071-E722-42CF-9CF3-31C75AE2FA78}">
      <tableStyleElement type="headerRow" dxfId="275"/>
    </tableStyle>
    <tableStyle name="Slicer Style 2" pivot="0" table="0" count="1" xr9:uid="{98216180-A132-46FD-9E82-6178BBEE9C25}">
      <tableStyleElement type="headerRow" dxfId="274"/>
    </tableStyle>
    <tableStyle name="Slicer Style 3" pivot="0" table="0" count="1" xr9:uid="{3F1CCCD2-3B84-40EB-84C0-01C859DB6133}"/>
  </tableStyles>
  <colors>
    <mruColors>
      <color rgb="FFF7879A"/>
    </mruColors>
  </colors>
  <extLst>
    <ext xmlns:x14="http://schemas.microsoft.com/office/spreadsheetml/2009/9/main" uri="{46F421CA-312F-682f-3DD2-61675219B42D}">
      <x14:dxfs count="1">
        <dxf>
          <fill>
            <patternFill patternType="solid">
              <fgColor auto="1"/>
              <bgColor rgb="FFF7879A"/>
            </patternFill>
          </fill>
        </dxf>
      </x14:dxfs>
    </ext>
    <ext xmlns:x14="http://schemas.microsoft.com/office/spreadsheetml/2009/9/main" uri="{EB79DEF2-80B8-43e5-95BD-54CBDDF9020C}">
      <x14:slicerStyles defaultSlicerStyle="Slicer Style 3">
        <x14:slicerStyle name="Slicer Style 1"/>
        <x14:slicerStyle name="Slicer Style 2"/>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4.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onnections" Target="connections.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[OVERALL RESPONSE.xlsx]Pivot 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Table'!$A$4:$A$6</c:f>
              <c:strCache>
                <c:ptCount val="2"/>
                <c:pt idx="0">
                  <c:v>Female</c:v>
                </c:pt>
                <c:pt idx="1">
                  <c:v>Male</c:v>
                </c:pt>
              </c:strCache>
            </c:strRef>
          </c:cat>
          <c:val>
            <c:numRef>
              <c:f>'Pivot Table'!$B$4:$B$6</c:f>
              <c:numCache>
                <c:formatCode>General</c:formatCode>
                <c:ptCount val="2"/>
                <c:pt idx="0">
                  <c:v>91</c:v>
                </c:pt>
                <c:pt idx="1">
                  <c:v>77</c:v>
                </c:pt>
              </c:numCache>
            </c:numRef>
          </c:val>
          <c:extLst>
            <c:ext xmlns:c16="http://schemas.microsoft.com/office/drawing/2014/chart" uri="{C3380CC4-5D6E-409C-BE32-E72D297353CC}">
              <c16:uniqueId val="{00000000-A9AF-4011-BC2D-89D37D0007DB}"/>
            </c:ext>
          </c:extLst>
        </c:ser>
        <c:dLbls>
          <c:showLegendKey val="0"/>
          <c:showVal val="0"/>
          <c:showCatName val="0"/>
          <c:showSerName val="0"/>
          <c:showPercent val="0"/>
          <c:showBubbleSize val="0"/>
        </c:dLbls>
        <c:gapWidth val="219"/>
        <c:overlap val="-27"/>
        <c:axId val="1158319808"/>
        <c:axId val="1158320288"/>
      </c:barChart>
      <c:catAx>
        <c:axId val="1158319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320288"/>
        <c:crosses val="autoZero"/>
        <c:auto val="1"/>
        <c:lblAlgn val="ctr"/>
        <c:lblOffset val="100"/>
        <c:noMultiLvlLbl val="0"/>
      </c:catAx>
      <c:valAx>
        <c:axId val="1158320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319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[OVERALL RESPONSE.xlsx]Pivot Table!PivotTable4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705243466022094E-2"/>
          <c:y val="0.11263868473019353"/>
          <c:w val="0.9568267521179703"/>
          <c:h val="0.79894291983453525"/>
        </c:manualLayout>
      </c:layout>
      <c:barChart>
        <c:barDir val="col"/>
        <c:grouping val="clustered"/>
        <c:varyColors val="0"/>
        <c:ser>
          <c:idx val="0"/>
          <c:order val="0"/>
          <c:tx>
            <c:strRef>
              <c:f>'Pivot Table'!$S$4</c:f>
              <c:strCache>
                <c:ptCount val="1"/>
                <c:pt idx="0">
                  <c:v>Total</c:v>
                </c:pt>
              </c:strCache>
            </c:strRef>
          </c:tx>
          <c:spPr>
            <a:solidFill>
              <a:schemeClr val="accent1"/>
            </a:solidFill>
            <a:ln>
              <a:noFill/>
            </a:ln>
            <a:effectLst/>
          </c:spPr>
          <c:invertIfNegative val="0"/>
          <c:cat>
            <c:multiLvlStrRef>
              <c:f>'Pivot Table'!$R$5:$R$50</c:f>
              <c:multiLvlStrCache>
                <c:ptCount val="33"/>
                <c:lvl>
                  <c:pt idx="0">
                    <c:v>Bronze</c:v>
                  </c:pt>
                  <c:pt idx="1">
                    <c:v>Gold</c:v>
                  </c:pt>
                  <c:pt idx="2">
                    <c:v>Silver</c:v>
                  </c:pt>
                  <c:pt idx="3">
                    <c:v>Bronze</c:v>
                  </c:pt>
                  <c:pt idx="4">
                    <c:v>Gold</c:v>
                  </c:pt>
                  <c:pt idx="5">
                    <c:v>Silver</c:v>
                  </c:pt>
                  <c:pt idx="6">
                    <c:v>Bronze</c:v>
                  </c:pt>
                  <c:pt idx="7">
                    <c:v>Gold</c:v>
                  </c:pt>
                  <c:pt idx="8">
                    <c:v>Silver</c:v>
                  </c:pt>
                  <c:pt idx="9">
                    <c:v>Bronze</c:v>
                  </c:pt>
                  <c:pt idx="10">
                    <c:v>Gold</c:v>
                  </c:pt>
                  <c:pt idx="11">
                    <c:v>Silver</c:v>
                  </c:pt>
                  <c:pt idx="12">
                    <c:v>Bronze</c:v>
                  </c:pt>
                  <c:pt idx="13">
                    <c:v>Gold</c:v>
                  </c:pt>
                  <c:pt idx="14">
                    <c:v>Silver</c:v>
                  </c:pt>
                  <c:pt idx="15">
                    <c:v>Bronze</c:v>
                  </c:pt>
                  <c:pt idx="16">
                    <c:v>Gold</c:v>
                  </c:pt>
                  <c:pt idx="17">
                    <c:v>Silver</c:v>
                  </c:pt>
                  <c:pt idx="18">
                    <c:v>Bronze</c:v>
                  </c:pt>
                  <c:pt idx="19">
                    <c:v>Gold</c:v>
                  </c:pt>
                  <c:pt idx="20">
                    <c:v>Silver</c:v>
                  </c:pt>
                  <c:pt idx="21">
                    <c:v>Bronze</c:v>
                  </c:pt>
                  <c:pt idx="22">
                    <c:v>Gold</c:v>
                  </c:pt>
                  <c:pt idx="23">
                    <c:v>Silver</c:v>
                  </c:pt>
                  <c:pt idx="24">
                    <c:v>Bronze</c:v>
                  </c:pt>
                  <c:pt idx="25">
                    <c:v>Gold</c:v>
                  </c:pt>
                  <c:pt idx="26">
                    <c:v>Silver</c:v>
                  </c:pt>
                  <c:pt idx="27">
                    <c:v>Bronze</c:v>
                  </c:pt>
                  <c:pt idx="28">
                    <c:v>Gold</c:v>
                  </c:pt>
                  <c:pt idx="29">
                    <c:v>Silver</c:v>
                  </c:pt>
                  <c:pt idx="30">
                    <c:v>Bronze</c:v>
                  </c:pt>
                  <c:pt idx="31">
                    <c:v>Gold</c:v>
                  </c:pt>
                  <c:pt idx="32">
                    <c:v>Silver</c:v>
                  </c:pt>
                </c:lvl>
                <c:lvl>
                  <c:pt idx="0">
                    <c:v>Black</c:v>
                  </c:pt>
                  <c:pt idx="3">
                    <c:v>Brown</c:v>
                  </c:pt>
                  <c:pt idx="6">
                    <c:v>Brown Gold</c:v>
                  </c:pt>
                  <c:pt idx="9">
                    <c:v>Brown Stripe</c:v>
                  </c:pt>
                  <c:pt idx="12">
                    <c:v>Green</c:v>
                  </c:pt>
                  <c:pt idx="15">
                    <c:v>Orange</c:v>
                  </c:pt>
                  <c:pt idx="18">
                    <c:v>Purple</c:v>
                  </c:pt>
                  <c:pt idx="21">
                    <c:v>Purple Stripe</c:v>
                  </c:pt>
                  <c:pt idx="24">
                    <c:v>Red</c:v>
                  </c:pt>
                  <c:pt idx="27">
                    <c:v>White</c:v>
                  </c:pt>
                  <c:pt idx="30">
                    <c:v>Yellow</c:v>
                  </c:pt>
                </c:lvl>
                <c:lvl>
                  <c:pt idx="0">
                    <c:v>Female</c:v>
                  </c:pt>
                </c:lvl>
              </c:multiLvlStrCache>
            </c:multiLvlStrRef>
          </c:cat>
          <c:val>
            <c:numRef>
              <c:f>'Pivot Table'!$S$5:$S$50</c:f>
              <c:numCache>
                <c:formatCode>0</c:formatCode>
                <c:ptCount val="33"/>
                <c:pt idx="0">
                  <c:v>73</c:v>
                </c:pt>
                <c:pt idx="1">
                  <c:v>79</c:v>
                </c:pt>
                <c:pt idx="2">
                  <c:v>68</c:v>
                </c:pt>
                <c:pt idx="3">
                  <c:v>59</c:v>
                </c:pt>
                <c:pt idx="4">
                  <c:v>149</c:v>
                </c:pt>
                <c:pt idx="5">
                  <c:v>110</c:v>
                </c:pt>
                <c:pt idx="6">
                  <c:v>100</c:v>
                </c:pt>
                <c:pt idx="7">
                  <c:v>83</c:v>
                </c:pt>
                <c:pt idx="8">
                  <c:v>125</c:v>
                </c:pt>
                <c:pt idx="9">
                  <c:v>37</c:v>
                </c:pt>
                <c:pt idx="10">
                  <c:v>30</c:v>
                </c:pt>
                <c:pt idx="11">
                  <c:v>15</c:v>
                </c:pt>
                <c:pt idx="12">
                  <c:v>53</c:v>
                </c:pt>
                <c:pt idx="13">
                  <c:v>84</c:v>
                </c:pt>
                <c:pt idx="14">
                  <c:v>133</c:v>
                </c:pt>
                <c:pt idx="15">
                  <c:v>99</c:v>
                </c:pt>
                <c:pt idx="16">
                  <c:v>92</c:v>
                </c:pt>
                <c:pt idx="17">
                  <c:v>117</c:v>
                </c:pt>
                <c:pt idx="18">
                  <c:v>82</c:v>
                </c:pt>
                <c:pt idx="19">
                  <c:v>145</c:v>
                </c:pt>
                <c:pt idx="20">
                  <c:v>139</c:v>
                </c:pt>
                <c:pt idx="21">
                  <c:v>89</c:v>
                </c:pt>
                <c:pt idx="22">
                  <c:v>77</c:v>
                </c:pt>
                <c:pt idx="23">
                  <c:v>56</c:v>
                </c:pt>
                <c:pt idx="24">
                  <c:v>67</c:v>
                </c:pt>
                <c:pt idx="25">
                  <c:v>159</c:v>
                </c:pt>
                <c:pt idx="26">
                  <c:v>166</c:v>
                </c:pt>
                <c:pt idx="27">
                  <c:v>48</c:v>
                </c:pt>
                <c:pt idx="28">
                  <c:v>118</c:v>
                </c:pt>
                <c:pt idx="29">
                  <c:v>75</c:v>
                </c:pt>
                <c:pt idx="30">
                  <c:v>118</c:v>
                </c:pt>
                <c:pt idx="31">
                  <c:v>81</c:v>
                </c:pt>
                <c:pt idx="32">
                  <c:v>59</c:v>
                </c:pt>
              </c:numCache>
            </c:numRef>
          </c:val>
          <c:extLst>
            <c:ext xmlns:c16="http://schemas.microsoft.com/office/drawing/2014/chart" uri="{C3380CC4-5D6E-409C-BE32-E72D297353CC}">
              <c16:uniqueId val="{00000000-D136-4246-8028-AC2EEF2715F9}"/>
            </c:ext>
          </c:extLst>
        </c:ser>
        <c:dLbls>
          <c:showLegendKey val="0"/>
          <c:showVal val="0"/>
          <c:showCatName val="0"/>
          <c:showSerName val="0"/>
          <c:showPercent val="0"/>
          <c:showBubbleSize val="0"/>
        </c:dLbls>
        <c:gapWidth val="219"/>
        <c:overlap val="-27"/>
        <c:axId val="1127231728"/>
        <c:axId val="1127228368"/>
      </c:barChart>
      <c:catAx>
        <c:axId val="112723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228368"/>
        <c:crosses val="autoZero"/>
        <c:auto val="1"/>
        <c:lblAlgn val="ctr"/>
        <c:lblOffset val="100"/>
        <c:noMultiLvlLbl val="0"/>
      </c:catAx>
      <c:valAx>
        <c:axId val="1127228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23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[OVERALL RESPONSE.xlsx]Pivot Table!PivotTable4</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Table'!$S$4</c:f>
              <c:strCache>
                <c:ptCount val="1"/>
                <c:pt idx="0">
                  <c:v>Total</c:v>
                </c:pt>
              </c:strCache>
            </c:strRef>
          </c:tx>
          <c:spPr>
            <a:solidFill>
              <a:schemeClr val="accent1"/>
            </a:solidFill>
            <a:ln>
              <a:noFill/>
            </a:ln>
            <a:effectLst/>
            <a:sp3d/>
          </c:spPr>
          <c:cat>
            <c:multiLvlStrRef>
              <c:f>'Pivot Table'!$R$5:$R$50</c:f>
              <c:multiLvlStrCache>
                <c:ptCount val="33"/>
                <c:lvl>
                  <c:pt idx="0">
                    <c:v>Bronze</c:v>
                  </c:pt>
                  <c:pt idx="1">
                    <c:v>Gold</c:v>
                  </c:pt>
                  <c:pt idx="2">
                    <c:v>Silver</c:v>
                  </c:pt>
                  <c:pt idx="3">
                    <c:v>Bronze</c:v>
                  </c:pt>
                  <c:pt idx="4">
                    <c:v>Gold</c:v>
                  </c:pt>
                  <c:pt idx="5">
                    <c:v>Silver</c:v>
                  </c:pt>
                  <c:pt idx="6">
                    <c:v>Bronze</c:v>
                  </c:pt>
                  <c:pt idx="7">
                    <c:v>Gold</c:v>
                  </c:pt>
                  <c:pt idx="8">
                    <c:v>Silver</c:v>
                  </c:pt>
                  <c:pt idx="9">
                    <c:v>Bronze</c:v>
                  </c:pt>
                  <c:pt idx="10">
                    <c:v>Gold</c:v>
                  </c:pt>
                  <c:pt idx="11">
                    <c:v>Silver</c:v>
                  </c:pt>
                  <c:pt idx="12">
                    <c:v>Bronze</c:v>
                  </c:pt>
                  <c:pt idx="13">
                    <c:v>Gold</c:v>
                  </c:pt>
                  <c:pt idx="14">
                    <c:v>Silver</c:v>
                  </c:pt>
                  <c:pt idx="15">
                    <c:v>Bronze</c:v>
                  </c:pt>
                  <c:pt idx="16">
                    <c:v>Gold</c:v>
                  </c:pt>
                  <c:pt idx="17">
                    <c:v>Silver</c:v>
                  </c:pt>
                  <c:pt idx="18">
                    <c:v>Bronze</c:v>
                  </c:pt>
                  <c:pt idx="19">
                    <c:v>Gold</c:v>
                  </c:pt>
                  <c:pt idx="20">
                    <c:v>Silver</c:v>
                  </c:pt>
                  <c:pt idx="21">
                    <c:v>Bronze</c:v>
                  </c:pt>
                  <c:pt idx="22">
                    <c:v>Gold</c:v>
                  </c:pt>
                  <c:pt idx="23">
                    <c:v>Silver</c:v>
                  </c:pt>
                  <c:pt idx="24">
                    <c:v>Bronze</c:v>
                  </c:pt>
                  <c:pt idx="25">
                    <c:v>Gold</c:v>
                  </c:pt>
                  <c:pt idx="26">
                    <c:v>Silver</c:v>
                  </c:pt>
                  <c:pt idx="27">
                    <c:v>Bronze</c:v>
                  </c:pt>
                  <c:pt idx="28">
                    <c:v>Gold</c:v>
                  </c:pt>
                  <c:pt idx="29">
                    <c:v>Silver</c:v>
                  </c:pt>
                  <c:pt idx="30">
                    <c:v>Bronze</c:v>
                  </c:pt>
                  <c:pt idx="31">
                    <c:v>Gold</c:v>
                  </c:pt>
                  <c:pt idx="32">
                    <c:v>Silver</c:v>
                  </c:pt>
                </c:lvl>
                <c:lvl>
                  <c:pt idx="0">
                    <c:v>Black</c:v>
                  </c:pt>
                  <c:pt idx="3">
                    <c:v>Brown</c:v>
                  </c:pt>
                  <c:pt idx="6">
                    <c:v>Brown Gold</c:v>
                  </c:pt>
                  <c:pt idx="9">
                    <c:v>Brown Stripe</c:v>
                  </c:pt>
                  <c:pt idx="12">
                    <c:v>Green</c:v>
                  </c:pt>
                  <c:pt idx="15">
                    <c:v>Orange</c:v>
                  </c:pt>
                  <c:pt idx="18">
                    <c:v>Purple</c:v>
                  </c:pt>
                  <c:pt idx="21">
                    <c:v>Purple Stripe</c:v>
                  </c:pt>
                  <c:pt idx="24">
                    <c:v>Red</c:v>
                  </c:pt>
                  <c:pt idx="27">
                    <c:v>White</c:v>
                  </c:pt>
                  <c:pt idx="30">
                    <c:v>Yellow</c:v>
                  </c:pt>
                </c:lvl>
                <c:lvl>
                  <c:pt idx="0">
                    <c:v>Female</c:v>
                  </c:pt>
                </c:lvl>
              </c:multiLvlStrCache>
            </c:multiLvlStrRef>
          </c:cat>
          <c:val>
            <c:numRef>
              <c:f>'Pivot Table'!$S$5:$S$50</c:f>
              <c:numCache>
                <c:formatCode>0</c:formatCode>
                <c:ptCount val="33"/>
                <c:pt idx="0">
                  <c:v>73</c:v>
                </c:pt>
                <c:pt idx="1">
                  <c:v>79</c:v>
                </c:pt>
                <c:pt idx="2">
                  <c:v>68</c:v>
                </c:pt>
                <c:pt idx="3">
                  <c:v>59</c:v>
                </c:pt>
                <c:pt idx="4">
                  <c:v>149</c:v>
                </c:pt>
                <c:pt idx="5">
                  <c:v>110</c:v>
                </c:pt>
                <c:pt idx="6">
                  <c:v>100</c:v>
                </c:pt>
                <c:pt idx="7">
                  <c:v>83</c:v>
                </c:pt>
                <c:pt idx="8">
                  <c:v>125</c:v>
                </c:pt>
                <c:pt idx="9">
                  <c:v>37</c:v>
                </c:pt>
                <c:pt idx="10">
                  <c:v>30</c:v>
                </c:pt>
                <c:pt idx="11">
                  <c:v>15</c:v>
                </c:pt>
                <c:pt idx="12">
                  <c:v>53</c:v>
                </c:pt>
                <c:pt idx="13">
                  <c:v>84</c:v>
                </c:pt>
                <c:pt idx="14">
                  <c:v>133</c:v>
                </c:pt>
                <c:pt idx="15">
                  <c:v>99</c:v>
                </c:pt>
                <c:pt idx="16">
                  <c:v>92</c:v>
                </c:pt>
                <c:pt idx="17">
                  <c:v>117</c:v>
                </c:pt>
                <c:pt idx="18">
                  <c:v>82</c:v>
                </c:pt>
                <c:pt idx="19">
                  <c:v>145</c:v>
                </c:pt>
                <c:pt idx="20">
                  <c:v>139</c:v>
                </c:pt>
                <c:pt idx="21">
                  <c:v>89</c:v>
                </c:pt>
                <c:pt idx="22">
                  <c:v>77</c:v>
                </c:pt>
                <c:pt idx="23">
                  <c:v>56</c:v>
                </c:pt>
                <c:pt idx="24">
                  <c:v>67</c:v>
                </c:pt>
                <c:pt idx="25">
                  <c:v>159</c:v>
                </c:pt>
                <c:pt idx="26">
                  <c:v>166</c:v>
                </c:pt>
                <c:pt idx="27">
                  <c:v>48</c:v>
                </c:pt>
                <c:pt idx="28">
                  <c:v>118</c:v>
                </c:pt>
                <c:pt idx="29">
                  <c:v>75</c:v>
                </c:pt>
                <c:pt idx="30">
                  <c:v>118</c:v>
                </c:pt>
                <c:pt idx="31">
                  <c:v>81</c:v>
                </c:pt>
                <c:pt idx="32">
                  <c:v>59</c:v>
                </c:pt>
              </c:numCache>
            </c:numRef>
          </c:val>
          <c:smooth val="0"/>
          <c:extLst>
            <c:ext xmlns:c16="http://schemas.microsoft.com/office/drawing/2014/chart" uri="{C3380CC4-5D6E-409C-BE32-E72D297353CC}">
              <c16:uniqueId val="{00000000-6008-4983-851F-E1D0062AC060}"/>
            </c:ext>
          </c:extLst>
        </c:ser>
        <c:dLbls>
          <c:showLegendKey val="0"/>
          <c:showVal val="0"/>
          <c:showCatName val="0"/>
          <c:showSerName val="0"/>
          <c:showPercent val="0"/>
          <c:showBubbleSize val="0"/>
        </c:dLbls>
        <c:axId val="2000068303"/>
        <c:axId val="2000076463"/>
        <c:axId val="1985404415"/>
      </c:line3DChart>
      <c:catAx>
        <c:axId val="20000683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076463"/>
        <c:crosses val="autoZero"/>
        <c:auto val="1"/>
        <c:lblAlgn val="ctr"/>
        <c:lblOffset val="100"/>
        <c:noMultiLvlLbl val="0"/>
      </c:catAx>
      <c:valAx>
        <c:axId val="20000764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068303"/>
        <c:crosses val="autoZero"/>
        <c:crossBetween val="between"/>
      </c:valAx>
      <c:serAx>
        <c:axId val="1985404415"/>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07646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[OVERALL RESPONSE.xlsx]Pivot Table!PivotTable4</c:name>
    <c:fmtId val="20"/>
  </c:pivotSource>
  <c:chart>
    <c:title>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ofPieChart>
        <c:ofPieType val="bar"/>
        <c:varyColors val="1"/>
        <c:ser>
          <c:idx val="0"/>
          <c:order val="0"/>
          <c:tx>
            <c:strRef>
              <c:f>'Pivot Table'!$S$4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8C7-4EB9-9802-5B66D424302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8C7-4EB9-9802-5B66D424302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8C7-4EB9-9802-5B66D424302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8C7-4EB9-9802-5B66D4243024}"/>
              </c:ext>
            </c:extLst>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cat>
            <c:multiLvlStrRef>
              <c:f>'Pivot Table'!$R$5:$R$50</c:f>
              <c:multiLvlStrCache>
                <c:ptCount val="33"/>
                <c:lvl>
                  <c:pt idx="0">
                    <c:v>Bronze</c:v>
                  </c:pt>
                  <c:pt idx="1">
                    <c:v>Gold</c:v>
                  </c:pt>
                  <c:pt idx="2">
                    <c:v>Silver</c:v>
                  </c:pt>
                  <c:pt idx="3">
                    <c:v>Bronze</c:v>
                  </c:pt>
                  <c:pt idx="4">
                    <c:v>Gold</c:v>
                  </c:pt>
                  <c:pt idx="5">
                    <c:v>Silver</c:v>
                  </c:pt>
                  <c:pt idx="6">
                    <c:v>Bronze</c:v>
                  </c:pt>
                  <c:pt idx="7">
                    <c:v>Gold</c:v>
                  </c:pt>
                  <c:pt idx="8">
                    <c:v>Silver</c:v>
                  </c:pt>
                  <c:pt idx="9">
                    <c:v>Bronze</c:v>
                  </c:pt>
                  <c:pt idx="10">
                    <c:v>Gold</c:v>
                  </c:pt>
                  <c:pt idx="11">
                    <c:v>Silver</c:v>
                  </c:pt>
                  <c:pt idx="12">
                    <c:v>Bronze</c:v>
                  </c:pt>
                  <c:pt idx="13">
                    <c:v>Gold</c:v>
                  </c:pt>
                  <c:pt idx="14">
                    <c:v>Silver</c:v>
                  </c:pt>
                  <c:pt idx="15">
                    <c:v>Bronze</c:v>
                  </c:pt>
                  <c:pt idx="16">
                    <c:v>Gold</c:v>
                  </c:pt>
                  <c:pt idx="17">
                    <c:v>Silver</c:v>
                  </c:pt>
                  <c:pt idx="18">
                    <c:v>Bronze</c:v>
                  </c:pt>
                  <c:pt idx="19">
                    <c:v>Gold</c:v>
                  </c:pt>
                  <c:pt idx="20">
                    <c:v>Silver</c:v>
                  </c:pt>
                  <c:pt idx="21">
                    <c:v>Bronze</c:v>
                  </c:pt>
                  <c:pt idx="22">
                    <c:v>Gold</c:v>
                  </c:pt>
                  <c:pt idx="23">
                    <c:v>Silver</c:v>
                  </c:pt>
                  <c:pt idx="24">
                    <c:v>Bronze</c:v>
                  </c:pt>
                  <c:pt idx="25">
                    <c:v>Gold</c:v>
                  </c:pt>
                  <c:pt idx="26">
                    <c:v>Silver</c:v>
                  </c:pt>
                  <c:pt idx="27">
                    <c:v>Bronze</c:v>
                  </c:pt>
                  <c:pt idx="28">
                    <c:v>Gold</c:v>
                  </c:pt>
                  <c:pt idx="29">
                    <c:v>Silver</c:v>
                  </c:pt>
                  <c:pt idx="30">
                    <c:v>Bronze</c:v>
                  </c:pt>
                  <c:pt idx="31">
                    <c:v>Gold</c:v>
                  </c:pt>
                  <c:pt idx="32">
                    <c:v>Silver</c:v>
                  </c:pt>
                </c:lvl>
                <c:lvl>
                  <c:pt idx="0">
                    <c:v>Black</c:v>
                  </c:pt>
                  <c:pt idx="3">
                    <c:v>Brown</c:v>
                  </c:pt>
                  <c:pt idx="6">
                    <c:v>Brown Gold</c:v>
                  </c:pt>
                  <c:pt idx="9">
                    <c:v>Brown Stripe</c:v>
                  </c:pt>
                  <c:pt idx="12">
                    <c:v>Green</c:v>
                  </c:pt>
                  <c:pt idx="15">
                    <c:v>Orange</c:v>
                  </c:pt>
                  <c:pt idx="18">
                    <c:v>Purple</c:v>
                  </c:pt>
                  <c:pt idx="21">
                    <c:v>Purple Stripe</c:v>
                  </c:pt>
                  <c:pt idx="24">
                    <c:v>Red</c:v>
                  </c:pt>
                  <c:pt idx="27">
                    <c:v>White</c:v>
                  </c:pt>
                  <c:pt idx="30">
                    <c:v>Yellow</c:v>
                  </c:pt>
                </c:lvl>
                <c:lvl>
                  <c:pt idx="0">
                    <c:v>Female</c:v>
                  </c:pt>
                </c:lvl>
              </c:multiLvlStrCache>
            </c:multiLvlStrRef>
          </c:cat>
          <c:val>
            <c:numRef>
              <c:f>'Pivot Table'!$S$5:$S$50</c:f>
              <c:numCache>
                <c:formatCode>0</c:formatCode>
                <c:ptCount val="33"/>
                <c:pt idx="0">
                  <c:v>73</c:v>
                </c:pt>
                <c:pt idx="1">
                  <c:v>79</c:v>
                </c:pt>
                <c:pt idx="2">
                  <c:v>68</c:v>
                </c:pt>
                <c:pt idx="3">
                  <c:v>59</c:v>
                </c:pt>
                <c:pt idx="4">
                  <c:v>149</c:v>
                </c:pt>
                <c:pt idx="5">
                  <c:v>110</c:v>
                </c:pt>
                <c:pt idx="6">
                  <c:v>100</c:v>
                </c:pt>
                <c:pt idx="7">
                  <c:v>83</c:v>
                </c:pt>
                <c:pt idx="8">
                  <c:v>125</c:v>
                </c:pt>
                <c:pt idx="9">
                  <c:v>37</c:v>
                </c:pt>
                <c:pt idx="10">
                  <c:v>30</c:v>
                </c:pt>
                <c:pt idx="11">
                  <c:v>15</c:v>
                </c:pt>
                <c:pt idx="12">
                  <c:v>53</c:v>
                </c:pt>
                <c:pt idx="13">
                  <c:v>84</c:v>
                </c:pt>
                <c:pt idx="14">
                  <c:v>133</c:v>
                </c:pt>
                <c:pt idx="15">
                  <c:v>99</c:v>
                </c:pt>
                <c:pt idx="16">
                  <c:v>92</c:v>
                </c:pt>
                <c:pt idx="17">
                  <c:v>117</c:v>
                </c:pt>
                <c:pt idx="18">
                  <c:v>82</c:v>
                </c:pt>
                <c:pt idx="19">
                  <c:v>145</c:v>
                </c:pt>
                <c:pt idx="20">
                  <c:v>139</c:v>
                </c:pt>
                <c:pt idx="21">
                  <c:v>89</c:v>
                </c:pt>
                <c:pt idx="22">
                  <c:v>77</c:v>
                </c:pt>
                <c:pt idx="23">
                  <c:v>56</c:v>
                </c:pt>
                <c:pt idx="24">
                  <c:v>67</c:v>
                </c:pt>
                <c:pt idx="25">
                  <c:v>159</c:v>
                </c:pt>
                <c:pt idx="26">
                  <c:v>166</c:v>
                </c:pt>
                <c:pt idx="27">
                  <c:v>48</c:v>
                </c:pt>
                <c:pt idx="28">
                  <c:v>118</c:v>
                </c:pt>
                <c:pt idx="29">
                  <c:v>75</c:v>
                </c:pt>
                <c:pt idx="30">
                  <c:v>118</c:v>
                </c:pt>
                <c:pt idx="31">
                  <c:v>81</c:v>
                </c:pt>
                <c:pt idx="32">
                  <c:v>59</c:v>
                </c:pt>
              </c:numCache>
            </c:numRef>
          </c:val>
          <c:extLst>
            <c:ext xmlns:c16="http://schemas.microsoft.com/office/drawing/2014/chart" uri="{C3380CC4-5D6E-409C-BE32-E72D297353CC}">
              <c16:uniqueId val="{00000008-88C7-4EB9-9802-5B66D4243024}"/>
            </c:ext>
          </c:extLst>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[OVERALL RESPONSE.xlsx]Pivot Table!PivotTable2</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37650714564346255"/>
          <c:w val="0.65883974932263878"/>
          <c:h val="0.62349285435653745"/>
        </c:manualLayout>
      </c:layout>
      <c:pie3DChart>
        <c:varyColors val="1"/>
        <c:ser>
          <c:idx val="0"/>
          <c:order val="0"/>
          <c:tx>
            <c:strRef>
              <c:f>'Pivot Table'!$B$3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F2A-4AC0-BE7E-348FD6067D5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F2A-4AC0-BE7E-348FD6067D52}"/>
              </c:ext>
            </c:extLst>
          </c:dPt>
          <c:cat>
            <c:strRef>
              <c:f>'Pivot Table'!$A$4:$A$6</c:f>
              <c:strCache>
                <c:ptCount val="2"/>
                <c:pt idx="0">
                  <c:v>Female</c:v>
                </c:pt>
                <c:pt idx="1">
                  <c:v>Male</c:v>
                </c:pt>
              </c:strCache>
            </c:strRef>
          </c:cat>
          <c:val>
            <c:numRef>
              <c:f>'Pivot Table'!$B$4:$B$6</c:f>
              <c:numCache>
                <c:formatCode>General</c:formatCode>
                <c:ptCount val="2"/>
                <c:pt idx="0">
                  <c:v>91</c:v>
                </c:pt>
                <c:pt idx="1">
                  <c:v>77</c:v>
                </c:pt>
              </c:numCache>
            </c:numRef>
          </c:val>
          <c:extLst>
            <c:ext xmlns:c16="http://schemas.microsoft.com/office/drawing/2014/chart" uri="{C3380CC4-5D6E-409C-BE32-E72D297353CC}">
              <c16:uniqueId val="{00000004-CF2A-4AC0-BE7E-348FD6067D5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plotArea>
      <cx:plotAreaRegion>
        <cx:series layoutId="sunburst" uniqueId="{DF7A072E-6BAE-48CF-8FE7-944E37013C88}">
          <cx:tx>
            <cx:txData>
              <cx:f>_xlchart.v1.4</cx:f>
              <cx:v>Sum of AGE</cx:v>
            </cx:txData>
          </cx:tx>
          <cx:dataLabels pos="ctr">
            <cx:visibility seriesName="0" categoryName="1" value="0"/>
          </cx:dataLabels>
          <cx:dataId val="0"/>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82">
  <cs:axisTitle>
    <cs:lnRef idx="0"/>
    <cs:fillRef idx="0"/>
    <cs:effectRef idx="0"/>
    <cs:fontRef idx="minor">
      <a:schemeClr val="tx1">
        <a:lumMod val="50000"/>
        <a:lumOff val="50000"/>
      </a:schemeClr>
    </cs:fontRef>
    <cs:defRPr sz="900"/>
  </cs:axisTitle>
  <cs:categoryAxis>
    <cs:lnRef idx="0"/>
    <cs:fillRef idx="0"/>
    <cs:effectRef idx="0"/>
    <cs:fontRef idx="minor">
      <a:schemeClr val="tx1">
        <a:lumMod val="50000"/>
        <a:lumOff val="50000"/>
      </a:schemeClr>
    </cs:fontRef>
    <cs:spPr>
      <a:ln w="19050" cap="flat" cmpd="sng" algn="ctr">
        <a:solidFill>
          <a:schemeClr val="tx1">
            <a:lumMod val="25000"/>
            <a:lumOff val="7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dk1">
        <a:lumMod val="75000"/>
        <a:lumOff val="25000"/>
      </a:schemeClr>
    </cs:fontRef>
    <cs:defRPr sz="900"/>
    <cs:bodyPr lIns="38100" tIns="19050" rIns="38100" bIns="19050">
      <a:spAutoFit/>
    </cs:bodyPr>
  </cs:dataLabel>
  <cs:dataLabelCallout>
    <cs:lnRef idx="0"/>
    <cs:fillRef idx="0"/>
    <cs:effectRef idx="0"/>
    <cs:fontRef idx="minor">
      <a:schemeClr val="dk1">
        <a:lumMod val="50000"/>
        <a:lumOff val="50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9525">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solidFill>
        <a:schemeClr val="phClr"/>
      </a:solidFill>
      <a:ln w="9525">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19050" cap="flat" cmpd="sng" algn="ctr">
        <a:solidFill>
          <a:schemeClr val="tx1">
            <a:lumMod val="25000"/>
            <a:lumOff val="7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800" b="1" cap="all" spc="15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50000"/>
        <a:lumOff val="50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50000"/>
        <a:lumOff val="50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100263</xdr:colOff>
      <xdr:row>0</xdr:row>
      <xdr:rowOff>133684</xdr:rowOff>
    </xdr:from>
    <xdr:to>
      <xdr:col>16</xdr:col>
      <xdr:colOff>66842</xdr:colOff>
      <xdr:row>46</xdr:row>
      <xdr:rowOff>33421</xdr:rowOff>
    </xdr:to>
    <xdr:graphicFrame macro="">
      <xdr:nvGraphicFramePr>
        <xdr:cNvPr id="2" name="Chart 1">
          <a:extLst>
            <a:ext uri="{FF2B5EF4-FFF2-40B4-BE49-F238E27FC236}">
              <a16:creationId xmlns:a16="http://schemas.microsoft.com/office/drawing/2014/main" id="{C70B70C1-8339-9A7C-52D5-37BD8120C4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30709</xdr:colOff>
      <xdr:row>9</xdr:row>
      <xdr:rowOff>18074</xdr:rowOff>
    </xdr:from>
    <xdr:to>
      <xdr:col>3</xdr:col>
      <xdr:colOff>452956</xdr:colOff>
      <xdr:row>46</xdr:row>
      <xdr:rowOff>33421</xdr:rowOff>
    </xdr:to>
    <mc:AlternateContent xmlns:mc="http://schemas.openxmlformats.org/markup-compatibility/2006">
      <mc:Choice xmlns:a14="http://schemas.microsoft.com/office/drawing/2010/main" Requires="a14">
        <xdr:graphicFrame macro="">
          <xdr:nvGraphicFramePr>
            <xdr:cNvPr id="3" name="AGE">
              <a:extLst>
                <a:ext uri="{FF2B5EF4-FFF2-40B4-BE49-F238E27FC236}">
                  <a16:creationId xmlns:a16="http://schemas.microsoft.com/office/drawing/2014/main" id="{C67804AF-CBB3-06C4-B108-9B2FD046C1E8}"/>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30709" y="1508944"/>
              <a:ext cx="2934638" cy="61444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499314</xdr:colOff>
      <xdr:row>24</xdr:row>
      <xdr:rowOff>141112</xdr:rowOff>
    </xdr:from>
    <xdr:to>
      <xdr:col>65</xdr:col>
      <xdr:colOff>352778</xdr:colOff>
      <xdr:row>95</xdr:row>
      <xdr:rowOff>141112</xdr:rowOff>
    </xdr:to>
    <xdr:graphicFrame macro="">
      <xdr:nvGraphicFramePr>
        <xdr:cNvPr id="4" name="Chart 3">
          <a:extLst>
            <a:ext uri="{FF2B5EF4-FFF2-40B4-BE49-F238E27FC236}">
              <a16:creationId xmlns:a16="http://schemas.microsoft.com/office/drawing/2014/main" id="{B3D9E997-2EAF-CBB4-33A8-B3A446C29C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43</xdr:col>
      <xdr:colOff>18539</xdr:colOff>
      <xdr:row>2</xdr:row>
      <xdr:rowOff>23518</xdr:rowOff>
    </xdr:from>
    <xdr:to>
      <xdr:col>59</xdr:col>
      <xdr:colOff>334124</xdr:colOff>
      <xdr:row>21</xdr:row>
      <xdr:rowOff>141111</xdr:rowOff>
    </xdr:to>
    <mc:AlternateContent xmlns:mc="http://schemas.openxmlformats.org/markup-compatibility/2006" xmlns:a14="http://schemas.microsoft.com/office/drawing/2010/main">
      <mc:Choice Requires="a14">
        <xdr:graphicFrame macro="">
          <xdr:nvGraphicFramePr>
            <xdr:cNvPr id="6" name="AGE 1">
              <a:extLst>
                <a:ext uri="{FF2B5EF4-FFF2-40B4-BE49-F238E27FC236}">
                  <a16:creationId xmlns:a16="http://schemas.microsoft.com/office/drawing/2014/main" id="{B8A42DD4-E91E-914D-8643-4F8FE6BC61C3}"/>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28133711" y="330070"/>
              <a:ext cx="10125241" cy="30298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607639</xdr:colOff>
      <xdr:row>2</xdr:row>
      <xdr:rowOff>20661</xdr:rowOff>
    </xdr:from>
    <xdr:to>
      <xdr:col>30</xdr:col>
      <xdr:colOff>376296</xdr:colOff>
      <xdr:row>21</xdr:row>
      <xdr:rowOff>97318</xdr:rowOff>
    </xdr:to>
    <mc:AlternateContent xmlns:mc="http://schemas.openxmlformats.org/markup-compatibility/2006" xmlns:a14="http://schemas.microsoft.com/office/drawing/2010/main">
      <mc:Choice Requires="a14">
        <xdr:graphicFrame macro="">
          <xdr:nvGraphicFramePr>
            <xdr:cNvPr id="8" name="MEDALS 1">
              <a:extLst>
                <a:ext uri="{FF2B5EF4-FFF2-40B4-BE49-F238E27FC236}">
                  <a16:creationId xmlns:a16="http://schemas.microsoft.com/office/drawing/2014/main" id="{D0FEC58C-CBC7-ACAE-AED9-1C98E4D740D4}"/>
                </a:ext>
              </a:extLst>
            </xdr:cNvPr>
            <xdr:cNvGraphicFramePr/>
          </xdr:nvGraphicFramePr>
          <xdr:xfrm>
            <a:off x="0" y="0"/>
            <a:ext cx="0" cy="0"/>
          </xdr:xfrm>
          <a:graphic>
            <a:graphicData uri="http://schemas.microsoft.com/office/drawing/2010/slicer">
              <sle:slicer xmlns:sle="http://schemas.microsoft.com/office/drawing/2010/slicer" name="MEDALS 1"/>
            </a:graphicData>
          </a:graphic>
        </xdr:graphicFrame>
      </mc:Choice>
      <mc:Fallback xmlns="">
        <xdr:sp macro="" textlink="">
          <xdr:nvSpPr>
            <xdr:cNvPr id="0" name=""/>
            <xdr:cNvSpPr>
              <a:spLocks noTextEdit="1"/>
            </xdr:cNvSpPr>
          </xdr:nvSpPr>
          <xdr:spPr>
            <a:xfrm>
              <a:off x="15234536" y="327213"/>
              <a:ext cx="5286588" cy="29888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390547</xdr:colOff>
      <xdr:row>2</xdr:row>
      <xdr:rowOff>20680</xdr:rowOff>
    </xdr:from>
    <xdr:to>
      <xdr:col>40</xdr:col>
      <xdr:colOff>564444</xdr:colOff>
      <xdr:row>22</xdr:row>
      <xdr:rowOff>94074</xdr:rowOff>
    </xdr:to>
    <mc:AlternateContent xmlns:mc="http://schemas.openxmlformats.org/markup-compatibility/2006" xmlns:a14="http://schemas.microsoft.com/office/drawing/2010/main">
      <mc:Choice Requires="a14">
        <xdr:graphicFrame macro="">
          <xdr:nvGraphicFramePr>
            <xdr:cNvPr id="9" name="BELT 1">
              <a:extLst>
                <a:ext uri="{FF2B5EF4-FFF2-40B4-BE49-F238E27FC236}">
                  <a16:creationId xmlns:a16="http://schemas.microsoft.com/office/drawing/2014/main" id="{93B55F3A-AF35-37FC-1CC4-1166E4E86490}"/>
                </a:ext>
              </a:extLst>
            </xdr:cNvPr>
            <xdr:cNvGraphicFramePr/>
          </xdr:nvGraphicFramePr>
          <xdr:xfrm>
            <a:off x="0" y="0"/>
            <a:ext cx="0" cy="0"/>
          </xdr:xfrm>
          <a:graphic>
            <a:graphicData uri="http://schemas.microsoft.com/office/drawing/2010/slicer">
              <sle:slicer xmlns:sle="http://schemas.microsoft.com/office/drawing/2010/slicer" name="BELT 1"/>
            </a:graphicData>
          </a:graphic>
        </xdr:graphicFrame>
      </mc:Choice>
      <mc:Fallback xmlns="">
        <xdr:sp macro="" textlink="">
          <xdr:nvSpPr>
            <xdr:cNvPr id="0" name=""/>
            <xdr:cNvSpPr>
              <a:spLocks noTextEdit="1"/>
            </xdr:cNvSpPr>
          </xdr:nvSpPr>
          <xdr:spPr>
            <a:xfrm>
              <a:off x="21698325" y="349939"/>
              <a:ext cx="1847505" cy="24218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48</xdr:row>
      <xdr:rowOff>100263</xdr:rowOff>
    </xdr:from>
    <xdr:to>
      <xdr:col>21</xdr:col>
      <xdr:colOff>70555</xdr:colOff>
      <xdr:row>113</xdr:row>
      <xdr:rowOff>105833</xdr:rowOff>
    </xdr:to>
    <xdr:graphicFrame macro="">
      <xdr:nvGraphicFramePr>
        <xdr:cNvPr id="11" name="Chart 10">
          <a:extLst>
            <a:ext uri="{FF2B5EF4-FFF2-40B4-BE49-F238E27FC236}">
              <a16:creationId xmlns:a16="http://schemas.microsoft.com/office/drawing/2014/main" id="{EC93F38F-CDC3-DCE1-9BEA-E3E0616A60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19051</xdr:colOff>
      <xdr:row>0</xdr:row>
      <xdr:rowOff>6350</xdr:rowOff>
    </xdr:from>
    <xdr:to>
      <xdr:col>2</xdr:col>
      <xdr:colOff>401053</xdr:colOff>
      <xdr:row>14</xdr:row>
      <xdr:rowOff>41776</xdr:rowOff>
    </xdr:to>
    <mc:AlternateContent xmlns:mc="http://schemas.openxmlformats.org/markup-compatibility/2006">
      <mc:Choice xmlns:a14="http://schemas.microsoft.com/office/drawing/2010/main" Requires="a14">
        <xdr:graphicFrame macro="">
          <xdr:nvGraphicFramePr>
            <xdr:cNvPr id="2" name="BELT 2">
              <a:extLst>
                <a:ext uri="{FF2B5EF4-FFF2-40B4-BE49-F238E27FC236}">
                  <a16:creationId xmlns:a16="http://schemas.microsoft.com/office/drawing/2014/main" id="{0DC022BB-5C2E-4C25-9E8B-A4AF5961D8DA}"/>
                </a:ext>
              </a:extLst>
            </xdr:cNvPr>
            <xdr:cNvGraphicFramePr/>
          </xdr:nvGraphicFramePr>
          <xdr:xfrm>
            <a:off x="0" y="0"/>
            <a:ext cx="0" cy="0"/>
          </xdr:xfrm>
          <a:graphic>
            <a:graphicData uri="http://schemas.microsoft.com/office/drawing/2010/slicer">
              <sle:slicer xmlns:sle="http://schemas.microsoft.com/office/drawing/2010/slicer" name="BELT 2"/>
            </a:graphicData>
          </a:graphic>
        </xdr:graphicFrame>
      </mc:Choice>
      <mc:Fallback>
        <xdr:sp macro="" textlink="">
          <xdr:nvSpPr>
            <xdr:cNvPr id="0" name=""/>
            <xdr:cNvSpPr>
              <a:spLocks noTextEdit="1"/>
            </xdr:cNvSpPr>
          </xdr:nvSpPr>
          <xdr:spPr>
            <a:xfrm>
              <a:off x="19051" y="6350"/>
              <a:ext cx="1600516" cy="23179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393829</xdr:colOff>
      <xdr:row>0</xdr:row>
      <xdr:rowOff>19309</xdr:rowOff>
    </xdr:from>
    <xdr:to>
      <xdr:col>19</xdr:col>
      <xdr:colOff>305131</xdr:colOff>
      <xdr:row>5</xdr:row>
      <xdr:rowOff>120908</xdr:rowOff>
    </xdr:to>
    <mc:AlternateContent xmlns:mc="http://schemas.openxmlformats.org/markup-compatibility/2006">
      <mc:Choice xmlns:a14="http://schemas.microsoft.com/office/drawing/2010/main" Requires="a14">
        <xdr:graphicFrame macro="">
          <xdr:nvGraphicFramePr>
            <xdr:cNvPr id="3" name="AGE 2">
              <a:extLst>
                <a:ext uri="{FF2B5EF4-FFF2-40B4-BE49-F238E27FC236}">
                  <a16:creationId xmlns:a16="http://schemas.microsoft.com/office/drawing/2014/main" id="{F0A4D7A4-8F38-458A-9580-CD3228DFECB6}"/>
                </a:ext>
              </a:extLst>
            </xdr:cNvPr>
            <xdr:cNvGraphicFramePr/>
          </xdr:nvGraphicFramePr>
          <xdr:xfrm>
            <a:off x="0" y="0"/>
            <a:ext cx="0" cy="0"/>
          </xdr:xfrm>
          <a:graphic>
            <a:graphicData uri="http://schemas.microsoft.com/office/drawing/2010/slicer">
              <sle:slicer xmlns:sle="http://schemas.microsoft.com/office/drawing/2010/slicer" name="AGE 2"/>
            </a:graphicData>
          </a:graphic>
        </xdr:graphicFrame>
      </mc:Choice>
      <mc:Fallback>
        <xdr:sp macro="" textlink="">
          <xdr:nvSpPr>
            <xdr:cNvPr id="0" name=""/>
            <xdr:cNvSpPr>
              <a:spLocks noTextEdit="1"/>
            </xdr:cNvSpPr>
          </xdr:nvSpPr>
          <xdr:spPr>
            <a:xfrm>
              <a:off x="1612343" y="19309"/>
              <a:ext cx="10268666" cy="9168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409408</xdr:colOff>
      <xdr:row>5</xdr:row>
      <xdr:rowOff>133684</xdr:rowOff>
    </xdr:from>
    <xdr:to>
      <xdr:col>9</xdr:col>
      <xdr:colOff>51486</xdr:colOff>
      <xdr:row>30</xdr:row>
      <xdr:rowOff>111554</xdr:rowOff>
    </xdr:to>
    <xdr:graphicFrame macro="">
      <xdr:nvGraphicFramePr>
        <xdr:cNvPr id="6" name="Chart 5">
          <a:extLst>
            <a:ext uri="{FF2B5EF4-FFF2-40B4-BE49-F238E27FC236}">
              <a16:creationId xmlns:a16="http://schemas.microsoft.com/office/drawing/2014/main" id="{9705A176-6E51-4CA6-8323-3B9FAF984C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291756</xdr:colOff>
      <xdr:row>5</xdr:row>
      <xdr:rowOff>142040</xdr:rowOff>
    </xdr:from>
    <xdr:to>
      <xdr:col>19</xdr:col>
      <xdr:colOff>300790</xdr:colOff>
      <xdr:row>30</xdr:row>
      <xdr:rowOff>85811</xdr:rowOff>
    </xdr:to>
    <xdr:graphicFrame macro="">
      <xdr:nvGraphicFramePr>
        <xdr:cNvPr id="8" name="Chart 7">
          <a:extLst>
            <a:ext uri="{FF2B5EF4-FFF2-40B4-BE49-F238E27FC236}">
              <a16:creationId xmlns:a16="http://schemas.microsoft.com/office/drawing/2014/main" id="{C749499A-CC1A-4486-A8C5-856250BEEE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68648</xdr:colOff>
      <xdr:row>5</xdr:row>
      <xdr:rowOff>133685</xdr:rowOff>
    </xdr:from>
    <xdr:to>
      <xdr:col>14</xdr:col>
      <xdr:colOff>308919</xdr:colOff>
      <xdr:row>30</xdr:row>
      <xdr:rowOff>102973</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FA4E3AA3-9172-4992-9FFB-599E55B7DEB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551959" y="948888"/>
              <a:ext cx="3286555" cy="404530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50131</xdr:colOff>
      <xdr:row>14</xdr:row>
      <xdr:rowOff>58486</xdr:rowOff>
    </xdr:from>
    <xdr:to>
      <xdr:col>2</xdr:col>
      <xdr:colOff>409408</xdr:colOff>
      <xdr:row>31</xdr:row>
      <xdr:rowOff>41776</xdr:rowOff>
    </xdr:to>
    <mc:AlternateContent xmlns:mc="http://schemas.openxmlformats.org/markup-compatibility/2006">
      <mc:Choice xmlns:a14="http://schemas.microsoft.com/office/drawing/2010/main" Requires="a14">
        <xdr:graphicFrame macro="">
          <xdr:nvGraphicFramePr>
            <xdr:cNvPr id="11" name="AGE 3">
              <a:extLst>
                <a:ext uri="{FF2B5EF4-FFF2-40B4-BE49-F238E27FC236}">
                  <a16:creationId xmlns:a16="http://schemas.microsoft.com/office/drawing/2014/main" id="{568CEADB-E389-4409-B725-E013CD2788FB}"/>
                </a:ext>
              </a:extLst>
            </xdr:cNvPr>
            <xdr:cNvGraphicFramePr/>
          </xdr:nvGraphicFramePr>
          <xdr:xfrm>
            <a:off x="0" y="0"/>
            <a:ext cx="0" cy="0"/>
          </xdr:xfrm>
          <a:graphic>
            <a:graphicData uri="http://schemas.microsoft.com/office/drawing/2010/slicer">
              <sle:slicer xmlns:sle="http://schemas.microsoft.com/office/drawing/2010/slicer" name="AGE 3"/>
            </a:graphicData>
          </a:graphic>
        </xdr:graphicFrame>
      </mc:Choice>
      <mc:Fallback>
        <xdr:sp macro="" textlink="">
          <xdr:nvSpPr>
            <xdr:cNvPr id="0" name=""/>
            <xdr:cNvSpPr>
              <a:spLocks noTextEdit="1"/>
            </xdr:cNvSpPr>
          </xdr:nvSpPr>
          <xdr:spPr>
            <a:xfrm>
              <a:off x="50131" y="2341054"/>
              <a:ext cx="1577791" cy="2754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uhin Maity" refreshedDate="46104.486899305557" createdVersion="8" refreshedVersion="8" minRefreshableVersion="3" recordCount="520" xr:uid="{DF214CE2-C477-49C8-9F08-B5279974BBFF}">
  <cacheSource type="worksheet">
    <worksheetSource name="Form_Responses3"/>
  </cacheSource>
  <cacheFields count="10">
    <cacheField name="NAME" numFmtId="0">
      <sharedItems count="519">
        <s v="AFTAB SEKH"/>
        <s v="SK ABRAR HASAN "/>
        <s v="SRINJOY DEY"/>
        <s v="ARNAB DUTTA "/>
        <s v="RISHAN MANDAL "/>
        <s v="Ankush Das "/>
        <s v="IDITRI MONDAL"/>
        <s v="AISHI DE"/>
        <s v="Niladri Addhya "/>
        <s v="Sk Atif Rahaman "/>
        <s v="Debasmita Dey"/>
        <s v="Afrin Parvin"/>
        <s v="SHIYA SEN"/>
        <s v="Subhamoy Kundu"/>
        <s v="Subha jit malik "/>
        <s v="Deblina Dey"/>
        <s v="ANGANA SARKAR"/>
        <s v="Ayan Banerjee "/>
        <s v="ANIKET SINGHA ROY"/>
        <s v="URSA MUKHERJEE "/>
        <s v="TUTAN DEY "/>
        <s v="Devansh koley"/>
        <s v="Saanjiva Das"/>
        <s v="Pius debnath"/>
        <s v="Anshuman Rana"/>
        <s v="ADRISH ROY"/>
        <s v="ANKAN DEY"/>
        <s v="AYENDRI DE"/>
        <s v="Zenifa Tasrin"/>
        <s v="ARKADEEP MONDAL "/>
        <s v="SUDARSHAN DAN"/>
        <s v="RUHI HARIJAN"/>
        <s v="ANWESHA PAL"/>
        <s v="ALFIYA HAQUE "/>
        <s v="Sayan Sen "/>
        <s v="ATRIK HALDER "/>
        <s v="PRIYAM DAS"/>
        <s v="Adrija singh"/>
        <s v="PURBASHA MUKHERJEE "/>
        <s v="Irfa Tasrin"/>
        <s v="ARYA BHANDARI "/>
        <s v="SRIJAN DEY"/>
        <s v="MIR SHABAZ"/>
        <s v="SUMIT SANTRA "/>
        <s v="RIMAN Roy"/>
        <s v="SK ZUNAID PARVEZ "/>
        <s v="AYUSH MAITY "/>
        <s v="NETRIK PANJA "/>
        <s v="Paridhi Bera"/>
        <s v="AROHI SOM "/>
        <s v="Ankush Nandi"/>
        <s v="Arya ghosh"/>
        <s v="ANKAN KUNDU"/>
        <s v="ARYA MUKHERJEE "/>
        <s v="MANIKARNIKA MAHANTA "/>
        <s v="ARADHYA MONDAL"/>
        <s v="SUPRITI BHATTACHARYAY"/>
        <s v="SUPRIYO GHOSH "/>
        <s v="SANCHITA MAHANTI"/>
        <s v="POULAMI PAKHIRA "/>
        <s v="Raashi adhikary"/>
        <s v="RUPAM DE"/>
        <s v="Risita bhowmick"/>
        <s v="Riya dey"/>
        <s v="Ankita samanta "/>
        <s v="SRINIKA PAN "/>
        <s v="Subhasree samanta "/>
        <s v="TANIA YESMIN"/>
        <s v="ANKITA RANA "/>
        <s v="RAJ DEY"/>
        <s v="Monojit Murmu "/>
        <s v="SUBHODIP DHARA "/>
        <s v="DIGANTA KUNDU"/>
        <s v="AHANA DASKAMAKAR"/>
        <s v="ASHMITA MOHANTA"/>
        <s v="SHRESTHANSHI PAL"/>
        <s v="PRITHU MONDAL"/>
        <s v="SHIBAM NAYEK"/>
        <s v="SUVROKANTI MONDAL"/>
        <s v="Ushoshi Mondel"/>
        <s v="Debjyoti Dhali"/>
        <s v="Wriddhiman Das"/>
        <s v="ANKANA GHOSH"/>
        <s v="SUPARNA BISWAS "/>
        <s v="DIPAYAN"/>
        <s v="Moupriya Mitra"/>
        <s v="Raktim Dey"/>
        <s v="SRISHTI  BISWAS "/>
        <s v="DEBANKITA CHAKRABORTY "/>
        <s v="ARIYAN DEBNATH "/>
        <s v="DYUTI MAJUMDER "/>
        <s v="TANVEER DAS "/>
        <s v="PRITAM BISWAS"/>
        <s v="KAVIYA MANDAL "/>
        <s v="POULAMI  MONDAL"/>
        <s v="RISHIT.  JANA"/>
        <s v="ARYA MANDAL "/>
        <s v="AYANTIKA  DEV"/>
        <s v="SOHINI CHAKRABORTY "/>
        <s v="MRITHSA DEBNATH "/>
        <s v="SWAGOTA   DEY     "/>
        <s v="AISHI  MUKHERJEE"/>
        <s v="ARNAB   MAJUMDAR"/>
        <s v="SOMYADIP  BOSE"/>
        <s v="PRATYAY  MONDAL"/>
        <s v="DIPANJANA MUKHERJEE "/>
        <s v="SUBHADRA ROY "/>
        <s v="AYUSI MAPDER "/>
        <s v="SUPRABHAT KISKU "/>
        <s v="SAYAN ROY "/>
        <s v="TRISHA  MONDAL "/>
        <s v="MALLIKA MONDAL "/>
        <s v="SAJIDA SULTANA"/>
        <s v="SHERYA RUIDAS"/>
        <s v="SHUVOMITA HATI"/>
        <s v="UDITA MUKHERJEE"/>
        <s v="SANCHAYITA SEN"/>
        <s v="ROUNAK SHAW"/>
        <s v="Barsha rui das"/>
        <s v="Rangan Hazra "/>
        <s v="PARINITA KARMAKAR "/>
        <s v="Koushiki De"/>
        <s v="RUDRANIL KESH"/>
        <s v="ARJYA DEV HAZRA "/>
        <s v="Sulagna Hazra "/>
        <s v="PAPRI DUTTA "/>
        <s v="DEBASMITA CHOWDHURY "/>
        <s v="Shukla Bhattacharya "/>
        <s v="ANWESHA DAN"/>
        <s v="MONOJIT KHARAT"/>
        <s v="Priyanshu dey"/>
        <s v="AYUSHMAN DEY"/>
        <s v="Ayantik Ghosh "/>
        <s v="Pratim Kumar dey "/>
        <s v="ANIK NANDI"/>
        <s v="Adrija Datta"/>
        <s v="Manisha Kundu"/>
        <s v="PAMALE MAJI"/>
        <s v="TRISHANWITA LAKSHMAN"/>
        <s v="Priyanka Manna"/>
        <s v="Sahasa Basu"/>
        <s v="Ananya Santra "/>
        <s v="Samyo Bhattacharya "/>
        <s v="AARUSH KUMAR SINGH "/>
        <s v="Tanishka Roy"/>
        <s v="Adriti Biswas "/>
        <s v="Sejoti malo"/>
        <s v="Aarya Ghosh"/>
        <s v="Ankit Pal"/>
        <s v="RAJDEEP MAL"/>
        <s v="Srestha Santra"/>
        <s v="Sristi Dhara "/>
        <s v="Parambrata modak "/>
        <s v="Aaradhya Bose Dey"/>
        <s v="SHREYAN DAS"/>
        <s v="NILADRI DAS"/>
        <s v="Shubham biswas"/>
        <s v="Srinesh Karmakar"/>
        <s v="SOUMEN DAS "/>
        <s v="Suvrojit Dhara"/>
        <s v="Barnak Mondal "/>
        <s v="Rohan Halder "/>
        <s v="Mehuli Das"/>
        <s v="Suman Barman "/>
        <s v="Sushanta Pal"/>
        <s v="Sheyasree Das "/>
        <s v="SHRADDHA SARKAR"/>
        <s v="Aratrika Chakraborty "/>
        <s v="Tithi das "/>
        <s v="SAYANEE BISWAS"/>
        <s v="BIDHU MONDAL"/>
        <s v="Ishan Biswas "/>
        <s v="Arijit Malo"/>
        <s v="Rounak mondal "/>
        <s v="NIVRITI NATH"/>
        <s v="ATRATYEE BISWAS "/>
        <s v="RONIT BANERJEE "/>
        <s v="ARANNYA ROY "/>
        <s v="Subham Halder "/>
        <s v="Krishnu shaha"/>
        <s v="Rimi Das"/>
        <s v="Subham Santra"/>
        <s v="PIYUSH SARKAR"/>
        <s v="Ankan Das"/>
        <s v="Pashpal pal"/>
        <s v="Mihir Mondal"/>
        <s v="Tithi mondal "/>
        <s v="AHARNA DEY "/>
        <s v="Nibedita modak"/>
        <s v="Dabhasmita karmakar "/>
        <s v="Anwesha Kar"/>
        <s v="Snehil Kundu"/>
        <s v="Rudranil Biswas"/>
        <s v="Nirmit halder "/>
        <s v="Sayantika Sarkar "/>
        <s v="Ipsita Pramanick"/>
        <s v="Avirup Mondal "/>
        <s v="KANISKA KAR"/>
        <s v="Supratik Karmakar"/>
        <s v="Sekh Farhan Tanvir "/>
        <s v="PRAMANKUR BARMAN"/>
        <s v="Ayush ghosh "/>
        <s v="Sayantika Halder "/>
        <s v="Saheli Paul"/>
        <s v="KOUSHANI KAR"/>
        <s v="SHARANNYA SARKAR"/>
        <s v="Debolina Swain"/>
        <s v="RESHAM KHATUN"/>
        <s v="Pritam mondal "/>
        <s v="Akash Biswas "/>
        <s v="Pritha Gurung "/>
        <s v="AYANIKA BAIRAGI "/>
        <s v="Karan Roy"/>
        <s v="Aarush Das"/>
        <s v="Ishan Mondal"/>
        <s v="Shreya Das"/>
        <s v="Mrittika Ghosh"/>
        <s v="Rishav Roy"/>
        <s v="Sambhabi Debnath "/>
        <s v="Aarohi Mondal"/>
        <s v="ANIK MISTIRI"/>
        <s v="Rijon Barai"/>
        <s v="Prittiv chaki"/>
        <s v="Aditya Chowdhury "/>
        <s v="Arshi Das"/>
        <s v="NUPUR DAS"/>
        <s v="Parijat Roy"/>
        <s v="Agnija Mukherjee "/>
        <s v="Rimi Mondal"/>
        <s v="Arka Mondal "/>
        <s v="Ishika Ghosh"/>
        <s v="Abanti Roy"/>
        <s v="Sayrindhri Barai"/>
        <s v="Trijal Paik"/>
        <s v="Abhigyan Das"/>
        <s v="Aarav Biswas "/>
        <s v="Jishnu Roy"/>
        <s v="Nahida Khatun Ansari "/>
        <s v="Papri Sen"/>
        <s v="Aritra Mondal"/>
        <s v="AMIT BIKRAM MISHRA"/>
        <s v="Shreyashi Das"/>
        <s v="Arannya Das "/>
        <s v="Rimsha Kirtaniya"/>
        <s v="Sneha Das"/>
        <s v="Ananya Baidya"/>
        <s v="Nandini Das"/>
        <s v="Sayani Saha"/>
        <s v="Nandini Sarkar "/>
        <s v="Puja Adhikary"/>
        <s v="SUPRIT DUTTA "/>
        <s v="Anwesha Sarkar"/>
        <s v="Koushani paul "/>
        <s v="Swastika rauth "/>
        <s v="SOURIK BAG"/>
        <s v="SHRUTI BAIRAGYA "/>
        <s v="SANVI SINGH"/>
        <s v="Anisha Mondal"/>
        <s v="Rupam Sikdar"/>
        <s v="SAIKAT  KIRTANIYA "/>
        <s v="Partha Rajbanshi"/>
        <s v="Subharajit Saha"/>
        <s v="TANAY ROY"/>
        <s v="SWAPNAMAY   PAL"/>
        <s v="KRITIKA  GHOSH "/>
        <s v="MUSKAN KHATUN"/>
        <s v="Avani Halder"/>
        <s v="SOMJIT SARKAR"/>
        <s v="SOUPTIK MANNA "/>
        <s v="Rohini Kirtaniya "/>
        <s v="Ishani pramanik"/>
        <s v="Jaahnnavi Sen"/>
        <s v="Arushi Chatterjee "/>
        <s v="AYANTIKA BAIRAGYA"/>
        <s v="RAJANAYA BISWAS"/>
        <s v="DIVIYA MONDAL"/>
        <s v="DEBDATTA CHATTERJEE "/>
        <s v="DIPAYAN DEY "/>
        <s v="Rajdip Biswas"/>
        <s v="ANKITA BAIRAGYA "/>
        <s v="Ankisha Paul "/>
        <s v="Rhitwija Roy "/>
        <s v="Rana Biswas"/>
        <s v="Raktim Jash "/>
        <s v="TRISHAN KIRTANIYA "/>
        <s v="TUHIN BARMAN"/>
        <s v="ROUSAN KARMAKAR"/>
        <s v="Abhilasa Das"/>
        <s v="MONISHA GHOSH"/>
        <s v="DRABANTI GHOSH "/>
        <s v="AYUSH PAUL "/>
        <s v="Tannistha Sen"/>
        <s v="ARADDHA MAJUMDAR"/>
        <s v="Prity Das"/>
        <s v="Ritham Kirtyaniya"/>
        <s v="Rashi mahali"/>
        <s v="Ankan Sarkar "/>
        <s v="Debanjan Ganguly "/>
        <s v="Shuvangi Banerjee "/>
        <s v="MRINMOYEE DEBNATH "/>
        <s v="Priyanshu Saha"/>
        <s v="Arpita Mondal "/>
        <s v="SAMPURNA PAUL"/>
        <s v="Moupiya Das "/>
        <s v="Asmita Pal "/>
        <s v="Sneha Khatun"/>
        <s v="MONOSISH ROY"/>
        <s v="SAGNIK DAS"/>
        <s v="AGNISH MUKHERJEE"/>
        <s v="DEBLINA SARKAR "/>
        <s v="Priya Dutta "/>
        <s v="Ritika Majumder "/>
        <s v="SREYOSHI MUKHERJEE "/>
        <s v="SRINIDHI DUTTA"/>
        <s v="Srinchana Singha "/>
        <s v="Rishik Dey"/>
        <s v="Abhidhyan Mondal "/>
        <s v="Sourjyo Mukherjee "/>
        <s v="Sampriti Pan"/>
        <s v="Aranya Malik"/>
        <s v="ABHIPRITHI DUTTA"/>
        <s v="Kingshuk Nandi"/>
        <s v="Parijat Ghosh "/>
        <s v="Nilanjan Das "/>
        <s v="Sreejita Banerjee "/>
        <s v="Saranyaa Mitra "/>
        <s v="Sampurna Pan"/>
        <s v="Punnyotoa Mukherjee "/>
        <s v="Rishita Das"/>
        <s v="Rahi Biswas"/>
        <s v="Aharshi Biswas "/>
        <s v="Nil Sardar"/>
        <s v="Rupam Biswas"/>
        <s v="Trisha Biswas"/>
        <s v="Rayma Mondel"/>
        <s v="Mrinmoy Majumder"/>
        <s v="Indrani talukder"/>
        <s v="AMAN MAHATA"/>
        <s v="MD RAMIZ MANDAL "/>
        <s v="AYUSH CHAKRABORTY "/>
        <s v="BASTAB KARMODAK "/>
        <s v="ANIK BARAT "/>
        <s v="RAJESH SING "/>
        <s v="SOURAV DHIBAR "/>
        <s v="SUJOY MUDI"/>
        <s v="RANJAN KR HEMBRAM "/>
        <s v="ANKITA DUTTA "/>
        <s v="RUPSA GANGULI "/>
        <s v="SULAGNA SAIN "/>
        <s v="SAUNAK REJ"/>
        <s v="SAMPAD DEY "/>
        <s v="ARUNIKA SAIN "/>
        <s v="SANYOG DE "/>
        <s v="ARIJIT MALLICK "/>
        <s v="ANIRBAN RUDRA "/>
        <s v="RIMI DALAL "/>
        <s v="JYOTIRMMAY CHAKRABORTY "/>
        <s v="ARITRA  SOM"/>
        <s v="KUSHAL SAIN "/>
        <s v="ARPON DAS"/>
        <s v="AYAN NANDI "/>
        <s v="SAYAN DAS "/>
        <s v="SHREYOSREE MURMU"/>
        <s v="SHRUTI BAG "/>
        <s v="BIRAJ PAL"/>
        <s v="AAIRA ALI "/>
        <s v="SANAYA DAS "/>
        <s v="SAAGNIK MONDAL"/>
        <s v="AKSHIT KESH "/>
        <s v="SPRIHA DESHMUKH "/>
        <s v="SHREYASEE BARIK "/>
        <s v="DEBOMOY DAS"/>
        <s v="NEHA DEV"/>
        <s v="SAYANI GHOSH "/>
        <s v="SOUMYAJIT MONDAL"/>
        <s v="ROUNAK GHOSH "/>
        <s v="SIKHA ROY MALIK"/>
        <s v="Soujas Roy"/>
        <s v="Subhajit Kabiraj"/>
        <s v="Sahel Rajbanshi"/>
        <s v="Diya Halder"/>
        <s v="Namrata Nath"/>
        <s v="Sukriti Ghosh"/>
        <s v="Amrita Bag"/>
        <s v="Aritra Dhali"/>
        <s v="Pankaj Halder "/>
        <s v="Aniket Samaddar"/>
        <s v="Ishan Rajbanshi"/>
        <s v="Arka Halder"/>
        <s v="Ayanjit das"/>
        <s v="Sumit Nath"/>
        <s v="Titli Halder"/>
        <s v="Bristi mondal"/>
        <s v="Shruti Saha"/>
        <s v="Ankush Sardar"/>
        <s v="Arjit Debnath "/>
        <s v="Prithyis Debnath "/>
        <s v="Priyom Sanpui"/>
        <s v="Arannya pal "/>
        <s v="Ankush Bhowmik "/>
        <s v="Kuntal Ghosh "/>
        <s v="Balaram Barman"/>
        <s v="Suhani Sanyashi "/>
        <s v="Pradipto Basu"/>
        <s v="Shruti Pakhrey"/>
        <s v="Chandana Das"/>
        <s v="Surajit Kairi"/>
        <s v="Kumkum Majhi "/>
        <s v="Aritrisha Bepari"/>
        <s v="Ishita Debnath "/>
        <s v="Anuradha Murmu"/>
        <s v="Aditya Murmu"/>
        <s v="Kaushiki Karmakar "/>
        <s v="Avik Dhara"/>
        <s v="Payel Manna"/>
        <s v="Ankita Hansda"/>
        <s v="KOUSHIK KISKU"/>
        <s v="SHREYAN HANSDA"/>
        <s v="ARITRO MONDAL "/>
        <s v="SOUMYODIP CHAKRABORTY"/>
        <s v="SASHI SEKHAR MURMU "/>
        <s v="ANKITA MALIK "/>
        <s v="SUNDARLAL TUDU"/>
        <s v="ADITYA HAZRA "/>
        <s v="AYUSI SADHUKHAN"/>
        <s v="EASHA NEOGI"/>
        <s v="RUDRA GHOSH "/>
        <s v="Divyam Mandal"/>
        <s v="Shaurya Majee"/>
        <s v="Prithviraj Barik"/>
        <s v="KRITTIKA KUNDU "/>
        <s v="Eshita de"/>
        <s v="Soumik mondal"/>
        <s v="ANUBRATA PAL"/>
        <s v="Anuska Chakraborty "/>
        <s v="Ved Banerjee"/>
        <s v="Priyanshu Sarkar "/>
        <s v="Ankush Sarkar"/>
        <s v="Barnali Biswas "/>
        <s v="Mousam Das"/>
        <s v="Manisha Malo"/>
        <s v="Supratim Dey "/>
        <s v="Rahul Dutta "/>
        <s v="Koyel Biswas "/>
        <s v="Payel Biswas "/>
        <s v="Debnath Kshetrapal"/>
        <s v="Isha Das "/>
        <s v="Debjit Modak"/>
        <s v="NIL ADHIKARY "/>
        <s v="PARTHA DAS"/>
        <s v="AAYAN MANDAL "/>
        <s v="MAINAK CHAKRABORTY"/>
        <s v="SHIVAAY PANDEY "/>
        <s v="ISHANT RABI DAS"/>
        <s v="ASMI DAS"/>
        <s v="BHUMIKA DAS"/>
        <s v="MITRAVEE ROY"/>
        <s v="ARADHYA GANGULY "/>
        <s v="SAYAN DEY "/>
        <s v="ARUSH SEN"/>
        <s v="MOUPRIYA  DEY"/>
        <s v="DIPIKA BANSFORE"/>
        <s v="Subiksha prasad "/>
        <s v="PROTIVA YADAV "/>
        <s v="ADHYAYAN SARKAR "/>
        <s v="Aaheli Das"/>
        <s v="Aahana Das"/>
        <s v="ARPITA PRASAD "/>
        <s v="SRIJITA GOP"/>
        <s v="RAI KISARI BANERJEE "/>
        <s v="AYUSHI GAIN"/>
        <s v="RICHA SARKAR"/>
        <s v="ARADHYA SHAW "/>
        <s v="Piyush Shaw "/>
        <s v="KAVYA YADAV"/>
        <s v="ANIKET HARI "/>
        <s v="PITAM SAHA "/>
        <s v="ANKITA PRASAD "/>
        <s v="RANI SINGH "/>
        <s v="SAPNA ROY"/>
        <s v="POULOMI DEY"/>
        <s v="ANKIT TANTI"/>
        <s v="ATUL KUMAR HELA"/>
        <s v="RAJIV THAKUR "/>
        <s v="Sayan barik"/>
        <s v="SAGAR KARMAKAR "/>
        <s v="SRIPARNA CHANDRA"/>
        <s v="ANKIT GOSWAMI "/>
        <s v="USMI SARKAR"/>
        <s v="MAHARUDRA SAMANTA"/>
        <s v="PREETAM BAG "/>
        <s v="JUHI ROY "/>
        <s v="ALIZA AYAT"/>
        <s v="ANKUSH KARMAKAR "/>
        <s v="ANKUR DAS "/>
        <s v="NANDINI SINGH "/>
        <s v="JANGYASENI SETHY "/>
        <s v="KOUSHANI SAMANTA "/>
        <s v="RUDRANI SAMANTA "/>
        <s v="SAYANTIKA BISWAS "/>
        <s v="ANUVA DAS "/>
        <s v="ANKITA CHATTERJEE "/>
        <s v="SAIMON MALLICK "/>
        <s v="SUKRITI PRAMANIK "/>
        <s v="SUBHOJIT HANSDA "/>
        <s v="ESHA ROY "/>
        <s v="ANKITA ROY"/>
        <s v="SOURADIPTA  GOLDAR "/>
        <s v="BAPAN BAIRAGYA "/>
        <s v="RANA CHAKRABORTY "/>
        <s v="SHARIB MALLICK "/>
        <s v="Sinjon Sadhukhan"/>
        <s v="Aloke Roy"/>
        <s v="RIDEEP MAJUMDAR"/>
        <s v="RISHAAN PRAMANCK"/>
        <s v="ANKUR CHAKROABORTY"/>
        <s v="DEBANGI SARKAR "/>
        <s v="SUBHAJIT GHOSH"/>
        <s v="PARNAVI GUPTA"/>
      </sharedItems>
    </cacheField>
    <cacheField name="DATE OF BIRTH" numFmtId="14">
      <sharedItems containsSemiMixedTypes="0" containsNonDate="0" containsDate="1" containsString="0" minDate="1987-11-27T00:00:00" maxDate="2021-02-26T00:00:00"/>
    </cacheField>
    <cacheField name="AGE" numFmtId="1">
      <sharedItems containsSemiMixedTypes="0" containsString="0" containsNumber="1" containsInteger="1" minValue="5" maxValue="38" count="25">
        <n v="10"/>
        <n v="11"/>
        <n v="12"/>
        <n v="13"/>
        <n v="7"/>
        <n v="14"/>
        <n v="15"/>
        <n v="17"/>
        <n v="16"/>
        <n v="21"/>
        <n v="25"/>
        <n v="28"/>
        <n v="18"/>
        <n v="5"/>
        <n v="6"/>
        <n v="8"/>
        <n v="9"/>
        <n v="19"/>
        <n v="22"/>
        <n v="38"/>
        <n v="24"/>
        <n v="20"/>
        <n v="27"/>
        <n v="36"/>
        <n v="23"/>
      </sharedItems>
    </cacheField>
    <cacheField name="WEIGHT(in kg)" numFmtId="0">
      <sharedItems containsSemiMixedTypes="0" containsString="0" containsNumber="1" minValue="0" maxValue="97"/>
    </cacheField>
    <cacheField name="GENDER" numFmtId="0">
      <sharedItems count="3">
        <s v="Male"/>
        <s v="Female"/>
        <s v="FEMALE "/>
      </sharedItems>
    </cacheField>
    <cacheField name="BELT" numFmtId="0">
      <sharedItems count="14">
        <s v="Yellow"/>
        <s v="Red"/>
        <s v="Brown Gold"/>
        <s v="Brown"/>
        <s v="Brown Stripe"/>
        <s v="Black"/>
        <s v="Purple Stripe"/>
        <s v="White"/>
        <s v="Orange"/>
        <s v="Purple"/>
        <s v="Green"/>
        <s v="Brown "/>
        <s v="GREEN "/>
        <s v="BROWN GOLD "/>
      </sharedItems>
    </cacheField>
    <cacheField name="EVENTS" numFmtId="0">
      <sharedItems/>
    </cacheField>
    <cacheField name="MEDALS" numFmtId="0">
      <sharedItems count="3">
        <s v="Gold"/>
        <s v="Silver"/>
        <s v="Bronze"/>
      </sharedItems>
    </cacheField>
    <cacheField name="INSTRUCTOR NAME" numFmtId="0">
      <sharedItems/>
    </cacheField>
    <cacheField name="DOJO NAME" numFmtId="0">
      <sharedItems/>
    </cacheField>
  </cacheFields>
  <extLst>
    <ext xmlns:x14="http://schemas.microsoft.com/office/spreadsheetml/2009/9/main" uri="{725AE2AE-9491-48be-B2B4-4EB974FC3084}">
      <x14:pivotCacheDefinition pivotCacheId="38437535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hin Maity" refreshedDate="46105.923831018517" backgroundQuery="1" createdVersion="8" refreshedVersion="8" minRefreshableVersion="3" recordCount="0" supportSubquery="1" supportAdvancedDrill="1" xr:uid="{FE742830-9FF7-4511-8D52-F91C852A4681}">
  <cacheSource type="external" connectionId="1"/>
  <cacheFields count="3">
    <cacheField name="[Form_Responses3].[GENDER].[GENDER]" caption="GENDER" numFmtId="0" hierarchy="4" level="1">
      <sharedItems count="2">
        <s v="Female"/>
        <s v="Male"/>
      </sharedItems>
    </cacheField>
    <cacheField name="[Measures].[Sum of AGE]" caption="Sum of AGE" numFmtId="0" hierarchy="12" level="32767"/>
    <cacheField name="[Form_Responses3].[AGE].[AGE]" caption="AGE" numFmtId="0" hierarchy="2" level="1">
      <sharedItems containsSemiMixedTypes="0" containsNonDate="0" containsString="0"/>
    </cacheField>
  </cacheFields>
  <cacheHierarchies count="13">
    <cacheHierarchy uniqueName="[Form_Responses3].[NAME]" caption="NAME" attribute="1" defaultMemberUniqueName="[Form_Responses3].[NAME].[All]" allUniqueName="[Form_Responses3].[NAME].[All]" dimensionUniqueName="[Form_Responses3]" displayFolder="" count="2" memberValueDatatype="130" unbalanced="0"/>
    <cacheHierarchy uniqueName="[Form_Responses3].[DATE OF BIRTH]" caption="DATE OF BIRTH" attribute="1" time="1" defaultMemberUniqueName="[Form_Responses3].[DATE OF BIRTH].[All]" allUniqueName="[Form_Responses3].[DATE OF BIRTH].[All]" dimensionUniqueName="[Form_Responses3]" displayFolder="" count="2" memberValueDatatype="7" unbalanced="0"/>
    <cacheHierarchy uniqueName="[Form_Responses3].[AGE]" caption="AGE" attribute="1" defaultMemberUniqueName="[Form_Responses3].[AGE].[All]" allUniqueName="[Form_Responses3].[AGE].[All]" dimensionUniqueName="[Form_Responses3]" displayFolder="" count="2" memberValueDatatype="20" unbalanced="0">
      <fieldsUsage count="2">
        <fieldUsage x="-1"/>
        <fieldUsage x="2"/>
      </fieldsUsage>
    </cacheHierarchy>
    <cacheHierarchy uniqueName="[Form_Responses3].[WEIGHT(in kg)]" caption="WEIGHT(in kg)" attribute="1" defaultMemberUniqueName="[Form_Responses3].[WEIGHT(in kg)].[All]" allUniqueName="[Form_Responses3].[WEIGHT(in kg)].[All]" dimensionUniqueName="[Form_Responses3]" displayFolder="" count="2" memberValueDatatype="5" unbalanced="0"/>
    <cacheHierarchy uniqueName="[Form_Responses3].[GENDER]" caption="GENDER" attribute="1" defaultMemberUniqueName="[Form_Responses3].[GENDER].[All]" allUniqueName="[Form_Responses3].[GENDER].[All]" dimensionUniqueName="[Form_Responses3]" displayFolder="" count="2" memberValueDatatype="130" unbalanced="0">
      <fieldsUsage count="2">
        <fieldUsage x="-1"/>
        <fieldUsage x="0"/>
      </fieldsUsage>
    </cacheHierarchy>
    <cacheHierarchy uniqueName="[Form_Responses3].[BELT]" caption="BELT" attribute="1" defaultMemberUniqueName="[Form_Responses3].[BELT].[All]" allUniqueName="[Form_Responses3].[BELT].[All]" dimensionUniqueName="[Form_Responses3]" displayFolder="" count="2" memberValueDatatype="130" unbalanced="0"/>
    <cacheHierarchy uniqueName="[Form_Responses3].[EVENTS]" caption="EVENTS" attribute="1" defaultMemberUniqueName="[Form_Responses3].[EVENTS].[All]" allUniqueName="[Form_Responses3].[EVENTS].[All]" dimensionUniqueName="[Form_Responses3]" displayFolder="" count="2" memberValueDatatype="130" unbalanced="0"/>
    <cacheHierarchy uniqueName="[Form_Responses3].[MEDALS]" caption="MEDALS" attribute="1" defaultMemberUniqueName="[Form_Responses3].[MEDALS].[All]" allUniqueName="[Form_Responses3].[MEDALS].[All]" dimensionUniqueName="[Form_Responses3]" displayFolder="" count="2" memberValueDatatype="130" unbalanced="0"/>
    <cacheHierarchy uniqueName="[Form_Responses3].[INSTRUCTOR NAME]" caption="INSTRUCTOR NAME" attribute="1" defaultMemberUniqueName="[Form_Responses3].[INSTRUCTOR NAME].[All]" allUniqueName="[Form_Responses3].[INSTRUCTOR NAME].[All]" dimensionUniqueName="[Form_Responses3]" displayFolder="" count="2" memberValueDatatype="130" unbalanced="0"/>
    <cacheHierarchy uniqueName="[Form_Responses3].[DOJO NAME]" caption="DOJO NAME" attribute="1" defaultMemberUniqueName="[Form_Responses3].[DOJO NAME].[All]" allUniqueName="[Form_Responses3].[DOJO NAME].[All]" dimensionUniqueName="[Form_Responses3]" displayFolder="" count="2" memberValueDatatype="130" unbalanced="0"/>
    <cacheHierarchy uniqueName="[Measures].[__XL_Count Form_Responses3]" caption="__XL_Count Form_Responses3" measure="1" displayFolder="" measureGroup="Form_Responses3" count="0" hidden="1"/>
    <cacheHierarchy uniqueName="[Measures].[__No measures defined]" caption="__No measures defined" measure="1" displayFolder="" count="0" hidden="1"/>
    <cacheHierarchy uniqueName="[Measures].[Sum of AGE]" caption="Sum of AGE" measure="1" displayFolder="" measureGroup="Form_Responses3" count="0" oneField="1" hidden="1">
      <fieldsUsage count="1">
        <fieldUsage x="1"/>
      </fieldsUsage>
      <extLst>
        <ext xmlns:x15="http://schemas.microsoft.com/office/spreadsheetml/2010/11/main" uri="{B97F6D7D-B522-45F9-BDA1-12C45D357490}">
          <x15:cacheHierarchy aggregatedColumn="2"/>
        </ext>
      </extLst>
    </cacheHierarchy>
  </cacheHierarchies>
  <kpis count="0"/>
  <dimensions count="2">
    <dimension name="Form_Responses3" uniqueName="[Form_Responses3]" caption="Form_Responses3"/>
    <dimension measure="1" name="Measures" uniqueName="[Measures]" caption="Measures"/>
  </dimensions>
  <measureGroups count="1">
    <measureGroup name="Form_Responses3" caption="Form_Responses3"/>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uhin Maity" refreshedDate="46105.358709722219" backgroundQuery="1" createdVersion="3" refreshedVersion="8" minRefreshableVersion="3" recordCount="0" supportSubquery="1" supportAdvancedDrill="1" xr:uid="{7DFB8515-B0B6-4ED8-B962-51DC1E5D7BA7}">
  <cacheSource type="external" connectionId="1">
    <extLst>
      <ext xmlns:x14="http://schemas.microsoft.com/office/spreadsheetml/2009/9/main" uri="{F057638F-6D5F-4e77-A914-E7F072B9BCA8}">
        <x14:sourceConnection name="ThisWorkbookDataModel"/>
      </ext>
    </extLst>
  </cacheSource>
  <cacheFields count="0"/>
  <cacheHierarchies count="13">
    <cacheHierarchy uniqueName="[Form_Responses3].[NAME]" caption="NAME" attribute="1" defaultMemberUniqueName="[Form_Responses3].[NAME].[All]" allUniqueName="[Form_Responses3].[NAME].[All]" dimensionUniqueName="[Form_Responses3]" displayFolder="" count="0" memberValueDatatype="130" unbalanced="0"/>
    <cacheHierarchy uniqueName="[Form_Responses3].[DATE OF BIRTH]" caption="DATE OF BIRTH" attribute="1" time="1" defaultMemberUniqueName="[Form_Responses3].[DATE OF BIRTH].[All]" allUniqueName="[Form_Responses3].[DATE OF BIRTH].[All]" dimensionUniqueName="[Form_Responses3]" displayFolder="" count="0" memberValueDatatype="7" unbalanced="0"/>
    <cacheHierarchy uniqueName="[Form_Responses3].[AGE]" caption="AGE" attribute="1" defaultMemberUniqueName="[Form_Responses3].[AGE].[All]" allUniqueName="[Form_Responses3].[AGE].[All]" dimensionUniqueName="[Form_Responses3]" displayFolder="" count="2" memberValueDatatype="20" unbalanced="0"/>
    <cacheHierarchy uniqueName="[Form_Responses3].[WEIGHT(in kg)]" caption="WEIGHT(in kg)" attribute="1" defaultMemberUniqueName="[Form_Responses3].[WEIGHT(in kg)].[All]" allUniqueName="[Form_Responses3].[WEIGHT(in kg)].[All]" dimensionUniqueName="[Form_Responses3]" displayFolder="" count="0" memberValueDatatype="5" unbalanced="0"/>
    <cacheHierarchy uniqueName="[Form_Responses3].[GENDER]" caption="GENDER" attribute="1" defaultMemberUniqueName="[Form_Responses3].[GENDER].[All]" allUniqueName="[Form_Responses3].[GENDER].[All]" dimensionUniqueName="[Form_Responses3]" displayFolder="" count="0" memberValueDatatype="130" unbalanced="0"/>
    <cacheHierarchy uniqueName="[Form_Responses3].[BELT]" caption="BELT" attribute="1" defaultMemberUniqueName="[Form_Responses3].[BELT].[All]" allUniqueName="[Form_Responses3].[BELT].[All]" dimensionUniqueName="[Form_Responses3]" displayFolder="" count="0" memberValueDatatype="130" unbalanced="0"/>
    <cacheHierarchy uniqueName="[Form_Responses3].[EVENTS]" caption="EVENTS" attribute="1" defaultMemberUniqueName="[Form_Responses3].[EVENTS].[All]" allUniqueName="[Form_Responses3].[EVENTS].[All]" dimensionUniqueName="[Form_Responses3]" displayFolder="" count="0" memberValueDatatype="130" unbalanced="0"/>
    <cacheHierarchy uniqueName="[Form_Responses3].[MEDALS]" caption="MEDALS" attribute="1" defaultMemberUniqueName="[Form_Responses3].[MEDALS].[All]" allUniqueName="[Form_Responses3].[MEDALS].[All]" dimensionUniqueName="[Form_Responses3]" displayFolder="" count="0" memberValueDatatype="130" unbalanced="0"/>
    <cacheHierarchy uniqueName="[Form_Responses3].[INSTRUCTOR NAME]" caption="INSTRUCTOR NAME" attribute="1" defaultMemberUniqueName="[Form_Responses3].[INSTRUCTOR NAME].[All]" allUniqueName="[Form_Responses3].[INSTRUCTOR NAME].[All]" dimensionUniqueName="[Form_Responses3]" displayFolder="" count="0" memberValueDatatype="130" unbalanced="0"/>
    <cacheHierarchy uniqueName="[Form_Responses3].[DOJO NAME]" caption="DOJO NAME" attribute="1" defaultMemberUniqueName="[Form_Responses3].[DOJO NAME].[All]" allUniqueName="[Form_Responses3].[DOJO NAME].[All]" dimensionUniqueName="[Form_Responses3]" displayFolder="" count="0" memberValueDatatype="130" unbalanced="0"/>
    <cacheHierarchy uniqueName="[Measures].[__XL_Count Form_Responses3]" caption="__XL_Count Form_Responses3" measure="1" displayFolder="" measureGroup="Form_Responses3" count="0" hidden="1"/>
    <cacheHierarchy uniqueName="[Measures].[__No measures defined]" caption="__No measures defined" measure="1" displayFolder="" count="0" hidden="1"/>
    <cacheHierarchy uniqueName="[Measures].[Sum of AGE]" caption="Sum of AGE" measure="1" displayFolder="" measureGroup="Form_Responses3"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51081845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0">
  <r>
    <x v="0"/>
    <d v="2015-11-26T00:00:00"/>
    <x v="0"/>
    <n v="34"/>
    <x v="0"/>
    <x v="0"/>
    <s v="Both"/>
    <x v="0"/>
    <s v="RANA DUTTA"/>
    <s v="ABKC"/>
  </r>
  <r>
    <x v="1"/>
    <d v="2014-10-28T00:00:00"/>
    <x v="1"/>
    <n v="44"/>
    <x v="0"/>
    <x v="1"/>
    <s v="Both"/>
    <x v="1"/>
    <s v="RANA DUTTA"/>
    <s v="ABKC"/>
  </r>
  <r>
    <x v="2"/>
    <d v="2013-07-01T00:00:00"/>
    <x v="2"/>
    <n v="56"/>
    <x v="0"/>
    <x v="0"/>
    <s v="Both"/>
    <x v="1"/>
    <s v="RANA DUTTA"/>
    <s v="ABKC"/>
  </r>
  <r>
    <x v="3"/>
    <d v="2012-11-20T00:00:00"/>
    <x v="3"/>
    <n v="46"/>
    <x v="0"/>
    <x v="0"/>
    <s v="Both"/>
    <x v="0"/>
    <s v="RANA DUTTA"/>
    <s v="ABKC"/>
  </r>
  <r>
    <x v="4"/>
    <d v="2019-02-19T00:00:00"/>
    <x v="4"/>
    <n v="20"/>
    <x v="0"/>
    <x v="1"/>
    <s v="Both"/>
    <x v="2"/>
    <s v="MOHADEB SARKAR"/>
    <s v="AKA (JUBILI PARK)"/>
  </r>
  <r>
    <x v="5"/>
    <d v="2014-05-26T00:00:00"/>
    <x v="1"/>
    <n v="47"/>
    <x v="0"/>
    <x v="2"/>
    <s v="Both"/>
    <x v="1"/>
    <s v="MOHADEB SARKAR"/>
    <s v="AKA (JUBILI PARK)"/>
  </r>
  <r>
    <x v="6"/>
    <d v="2014-08-14T00:00:00"/>
    <x v="1"/>
    <n v="31"/>
    <x v="1"/>
    <x v="3"/>
    <s v="Both"/>
    <x v="2"/>
    <s v="MOHADEB SARKAR"/>
    <s v="AKA (JUBILI PARK)"/>
  </r>
  <r>
    <x v="7"/>
    <d v="2014-02-12T00:00:00"/>
    <x v="2"/>
    <n v="50"/>
    <x v="1"/>
    <x v="4"/>
    <s v="Both"/>
    <x v="2"/>
    <s v="MOHADEB SARKAR"/>
    <s v="AKA (JUBILI PARK)"/>
  </r>
  <r>
    <x v="8"/>
    <d v="2011-12-30T00:00:00"/>
    <x v="5"/>
    <n v="32"/>
    <x v="0"/>
    <x v="5"/>
    <s v="Both"/>
    <x v="0"/>
    <s v="MOHADEB SARKAR"/>
    <s v="AKA (JUBILI PARK)"/>
  </r>
  <r>
    <x v="9"/>
    <d v="2010-10-23T00:00:00"/>
    <x v="6"/>
    <n v="48"/>
    <x v="0"/>
    <x v="2"/>
    <s v="Both"/>
    <x v="0"/>
    <s v="MOHADEB SARKAR"/>
    <s v="AKA (JUBILI PARK)"/>
  </r>
  <r>
    <x v="10"/>
    <d v="2010-09-27T00:00:00"/>
    <x v="6"/>
    <n v="67"/>
    <x v="1"/>
    <x v="2"/>
    <s v="Both"/>
    <x v="0"/>
    <s v="MOHADEB SARKAR"/>
    <s v="AKA (JUBILI PARK)"/>
  </r>
  <r>
    <x v="11"/>
    <d v="2009-01-04T00:00:00"/>
    <x v="7"/>
    <n v="48"/>
    <x v="1"/>
    <x v="6"/>
    <s v="Both"/>
    <x v="1"/>
    <s v="MOHADEB SARKAR"/>
    <s v="AKA (JUBILI PARK)"/>
  </r>
  <r>
    <x v="12"/>
    <d v="2009-04-22T00:00:00"/>
    <x v="8"/>
    <n v="56"/>
    <x v="1"/>
    <x v="5"/>
    <s v="Both"/>
    <x v="1"/>
    <s v="MOHADEB SARKAR"/>
    <s v="AKA (JUBILI PARK)"/>
  </r>
  <r>
    <x v="13"/>
    <d v="2005-02-01T00:00:00"/>
    <x v="9"/>
    <n v="64"/>
    <x v="0"/>
    <x v="5"/>
    <s v="Both"/>
    <x v="0"/>
    <s v="MOHADEB SARKAR"/>
    <s v="AKA (JUBILI PARK)"/>
  </r>
  <r>
    <x v="14"/>
    <d v="2000-06-24T00:00:00"/>
    <x v="10"/>
    <n v="75"/>
    <x v="0"/>
    <x v="5"/>
    <s v="Both"/>
    <x v="2"/>
    <s v="MOHADEB SARKAR"/>
    <s v="AKA (JUBILI PARK)"/>
  </r>
  <r>
    <x v="15"/>
    <d v="2004-10-12T00:00:00"/>
    <x v="9"/>
    <n v="60"/>
    <x v="1"/>
    <x v="2"/>
    <s v="Both"/>
    <x v="1"/>
    <s v="MOHADEB SARKAR"/>
    <s v="AKA (JUBILI PARK)"/>
  </r>
  <r>
    <x v="16"/>
    <d v="2004-05-28T00:00:00"/>
    <x v="9"/>
    <n v="70"/>
    <x v="1"/>
    <x v="5"/>
    <s v="Both"/>
    <x v="2"/>
    <s v="MOHADEB SARKAR"/>
    <s v="AKA (JUBILI PARK)"/>
  </r>
  <r>
    <x v="17"/>
    <d v="1997-09-05T00:00:00"/>
    <x v="11"/>
    <n v="63"/>
    <x v="0"/>
    <x v="5"/>
    <s v="Kumite"/>
    <x v="2"/>
    <s v="MOHADEB SARKAR"/>
    <s v="AKA (JUBILI PARK)"/>
  </r>
  <r>
    <x v="18"/>
    <d v="2010-08-12T00:00:00"/>
    <x v="6"/>
    <n v="57"/>
    <x v="0"/>
    <x v="5"/>
    <s v="Both"/>
    <x v="0"/>
    <s v="MOHADEB SARKAR"/>
    <s v="AKA (SCHOOL MAYDAN)"/>
  </r>
  <r>
    <x v="19"/>
    <d v="2011-06-08T00:00:00"/>
    <x v="5"/>
    <n v="60"/>
    <x v="1"/>
    <x v="2"/>
    <s v="Both"/>
    <x v="0"/>
    <s v="MOHADEB SARKAR"/>
    <s v="AKA (SCHOOL MAYDAN)"/>
  </r>
  <r>
    <x v="20"/>
    <d v="2007-10-05T00:00:00"/>
    <x v="12"/>
    <n v="67"/>
    <x v="0"/>
    <x v="2"/>
    <s v="Both"/>
    <x v="1"/>
    <s v="MOHADEB SARKAR"/>
    <s v="AKA (SCHOOL MAYDAN)"/>
  </r>
  <r>
    <x v="21"/>
    <d v="2021-01-23T00:00:00"/>
    <x v="13"/>
    <n v="15"/>
    <x v="0"/>
    <x v="7"/>
    <s v="Both"/>
    <x v="1"/>
    <s v="PARTHA DAS KARMAKAR"/>
    <s v="ASKA"/>
  </r>
  <r>
    <x v="22"/>
    <d v="2020-03-29T00:00:00"/>
    <x v="13"/>
    <n v="20"/>
    <x v="1"/>
    <x v="1"/>
    <s v="Both"/>
    <x v="0"/>
    <s v="PARTHA DAS KARMAKAR"/>
    <s v="ASKA"/>
  </r>
  <r>
    <x v="23"/>
    <d v="2019-03-04T00:00:00"/>
    <x v="4"/>
    <n v="17"/>
    <x v="0"/>
    <x v="1"/>
    <s v="Both"/>
    <x v="2"/>
    <s v="PARTHA DAS KARMAKAR"/>
    <s v="ASKA"/>
  </r>
  <r>
    <x v="24"/>
    <d v="2019-12-15T00:00:00"/>
    <x v="14"/>
    <n v="19"/>
    <x v="0"/>
    <x v="1"/>
    <s v="Both"/>
    <x v="1"/>
    <s v="PARTHA DAS KARMAKAR"/>
    <s v="ASKA"/>
  </r>
  <r>
    <x v="25"/>
    <d v="2018-12-20T00:00:00"/>
    <x v="4"/>
    <n v="18"/>
    <x v="0"/>
    <x v="8"/>
    <s v="Both"/>
    <x v="2"/>
    <s v="PARTHA DAS KARMAKAR"/>
    <s v="ASKA"/>
  </r>
  <r>
    <x v="26"/>
    <d v="2018-05-18T00:00:00"/>
    <x v="4"/>
    <n v="21"/>
    <x v="0"/>
    <x v="0"/>
    <s v="Both"/>
    <x v="2"/>
    <s v="SUDARSHAN PAINE"/>
    <s v="ASKA"/>
  </r>
  <r>
    <x v="27"/>
    <d v="2018-11-30T00:00:00"/>
    <x v="4"/>
    <n v="18"/>
    <x v="1"/>
    <x v="1"/>
    <s v="Both"/>
    <x v="0"/>
    <s v="PARTHA DAS KARMAKAR"/>
    <s v="ASKA"/>
  </r>
  <r>
    <x v="28"/>
    <d v="2018-12-18T00:00:00"/>
    <x v="4"/>
    <n v="15"/>
    <x v="1"/>
    <x v="7"/>
    <s v="Kata"/>
    <x v="0"/>
    <s v="PARTHA DAS KARMAKAR"/>
    <s v="ASKA"/>
  </r>
  <r>
    <x v="29"/>
    <d v="2017-04-09T00:00:00"/>
    <x v="15"/>
    <n v="24"/>
    <x v="0"/>
    <x v="3"/>
    <s v="Both"/>
    <x v="1"/>
    <s v="SUDARSHAN PAINE"/>
    <s v="ASKA"/>
  </r>
  <r>
    <x v="30"/>
    <d v="2017-07-09T00:00:00"/>
    <x v="15"/>
    <n v="28"/>
    <x v="0"/>
    <x v="8"/>
    <s v="Kata"/>
    <x v="1"/>
    <s v="SUDARSHAN PAINE"/>
    <s v="ASKA"/>
  </r>
  <r>
    <x v="31"/>
    <d v="2017-11-25T00:00:00"/>
    <x v="15"/>
    <n v="20"/>
    <x v="1"/>
    <x v="1"/>
    <s v="Kata"/>
    <x v="0"/>
    <s v="PARTHA DAS KARMAKAR"/>
    <s v="ASKA"/>
  </r>
  <r>
    <x v="32"/>
    <d v="2017-01-29T00:00:00"/>
    <x v="16"/>
    <n v="28"/>
    <x v="1"/>
    <x v="8"/>
    <s v="Kata"/>
    <x v="2"/>
    <s v="SUDARSHAN PAINE"/>
    <s v="ASKA"/>
  </r>
  <r>
    <x v="33"/>
    <d v="2017-01-30T00:00:00"/>
    <x v="16"/>
    <n v="31"/>
    <x v="1"/>
    <x v="8"/>
    <s v="Kata"/>
    <x v="1"/>
    <s v="SUDARSHAN PAINE"/>
    <s v="ASKA"/>
  </r>
  <r>
    <x v="34"/>
    <d v="2016-02-15T00:00:00"/>
    <x v="0"/>
    <n v="25"/>
    <x v="0"/>
    <x v="0"/>
    <s v="Both"/>
    <x v="2"/>
    <s v="PARTHA DAS KARMAKAR"/>
    <s v="ASKA"/>
  </r>
  <r>
    <x v="35"/>
    <d v="2016-04-10T00:00:00"/>
    <x v="16"/>
    <n v="28"/>
    <x v="0"/>
    <x v="9"/>
    <s v="Both"/>
    <x v="2"/>
    <s v="PARTHA DAS KARMAKAR"/>
    <s v="ASKA"/>
  </r>
  <r>
    <x v="36"/>
    <d v="2016-01-30T00:00:00"/>
    <x v="0"/>
    <n v="38"/>
    <x v="0"/>
    <x v="4"/>
    <s v="Both"/>
    <x v="0"/>
    <s v="SUDARSHAN PAINE"/>
    <s v="ASKA"/>
  </r>
  <r>
    <x v="37"/>
    <d v="2016-12-24T00:00:00"/>
    <x v="16"/>
    <n v="27"/>
    <x v="1"/>
    <x v="1"/>
    <s v="Both"/>
    <x v="0"/>
    <s v="PARTHA DAS KARMAKAR"/>
    <s v="ASKA"/>
  </r>
  <r>
    <x v="38"/>
    <d v="2016-08-04T00:00:00"/>
    <x v="16"/>
    <n v="26"/>
    <x v="1"/>
    <x v="9"/>
    <s v="Both"/>
    <x v="1"/>
    <s v="SUDARSHAN PAINE"/>
    <s v="ASKA"/>
  </r>
  <r>
    <x v="39"/>
    <d v="2016-05-11T00:00:00"/>
    <x v="16"/>
    <n v="35"/>
    <x v="1"/>
    <x v="7"/>
    <s v="Both"/>
    <x v="1"/>
    <s v="PARTHA DAS KARMAKAR"/>
    <s v="ASKA"/>
  </r>
  <r>
    <x v="40"/>
    <d v="2015-01-12T00:00:00"/>
    <x v="1"/>
    <n v="30"/>
    <x v="0"/>
    <x v="3"/>
    <s v="Both"/>
    <x v="0"/>
    <s v="SUDARSHAN PAINE"/>
    <s v="ASKA"/>
  </r>
  <r>
    <x v="41"/>
    <d v="2015-04-02T00:00:00"/>
    <x v="0"/>
    <n v="35"/>
    <x v="0"/>
    <x v="4"/>
    <s v="Both"/>
    <x v="2"/>
    <s v="SUDARSHAN PAINE"/>
    <s v="ASKA"/>
  </r>
  <r>
    <x v="42"/>
    <d v="2015-01-01T00:00:00"/>
    <x v="1"/>
    <n v="36"/>
    <x v="0"/>
    <x v="9"/>
    <s v="Both"/>
    <x v="1"/>
    <s v="SUDARSHAN PAINE"/>
    <s v="ASKA"/>
  </r>
  <r>
    <x v="43"/>
    <d v="2015-07-29T00:00:00"/>
    <x v="0"/>
    <n v="41"/>
    <x v="0"/>
    <x v="0"/>
    <s v="Both"/>
    <x v="2"/>
    <s v="SUDARSHAN PAINE"/>
    <s v="ASKA"/>
  </r>
  <r>
    <x v="44"/>
    <d v="2014-01-01T00:00:00"/>
    <x v="2"/>
    <n v="30"/>
    <x v="0"/>
    <x v="3"/>
    <s v="Both"/>
    <x v="2"/>
    <s v="PARTHA DAS KARMAKAR"/>
    <s v="ASKA"/>
  </r>
  <r>
    <x v="45"/>
    <d v="2014-09-19T00:00:00"/>
    <x v="1"/>
    <n v="30"/>
    <x v="0"/>
    <x v="10"/>
    <s v="Both"/>
    <x v="0"/>
    <s v="SUDARSHAN PAINE"/>
    <s v="ASKA"/>
  </r>
  <r>
    <x v="46"/>
    <d v="2014-02-12T00:00:00"/>
    <x v="2"/>
    <n v="32"/>
    <x v="0"/>
    <x v="6"/>
    <s v="Both"/>
    <x v="0"/>
    <s v="SUDARSHAN PAINE"/>
    <s v="ASKA"/>
  </r>
  <r>
    <x v="47"/>
    <d v="2014-08-05T00:00:00"/>
    <x v="1"/>
    <n v="52"/>
    <x v="0"/>
    <x v="4"/>
    <s v="Both"/>
    <x v="1"/>
    <s v="SUDARSHAN PAINE"/>
    <s v="ASKA"/>
  </r>
  <r>
    <x v="48"/>
    <d v="2014-12-01T00:00:00"/>
    <x v="1"/>
    <n v="27"/>
    <x v="1"/>
    <x v="1"/>
    <s v="Both"/>
    <x v="1"/>
    <s v="PARTHA DAS KARMAKAR"/>
    <s v="ASKA"/>
  </r>
  <r>
    <x v="49"/>
    <d v="2014-09-21T00:00:00"/>
    <x v="1"/>
    <n v="47"/>
    <x v="1"/>
    <x v="4"/>
    <s v="Both"/>
    <x v="0"/>
    <s v="SUDARSHAN PAINE"/>
    <s v="ASKA"/>
  </r>
  <r>
    <x v="50"/>
    <d v="2013-12-08T00:00:00"/>
    <x v="2"/>
    <n v="40"/>
    <x v="0"/>
    <x v="10"/>
    <s v="Both"/>
    <x v="2"/>
    <s v="PARTHA DAS KARMAKAR"/>
    <s v="ASKA"/>
  </r>
  <r>
    <x v="51"/>
    <d v="2013-09-23T00:00:00"/>
    <x v="2"/>
    <n v="40"/>
    <x v="0"/>
    <x v="8"/>
    <s v="Both"/>
    <x v="1"/>
    <s v="PARTHA DAS KARMAKAR"/>
    <s v="ASKA"/>
  </r>
  <r>
    <x v="52"/>
    <d v="2013-05-21T00:00:00"/>
    <x v="2"/>
    <n v="43"/>
    <x v="0"/>
    <x v="4"/>
    <s v="Both"/>
    <x v="2"/>
    <s v="SUDARSHAN PAINE"/>
    <s v="ASKA"/>
  </r>
  <r>
    <x v="53"/>
    <d v="2013-09-16T00:00:00"/>
    <x v="2"/>
    <n v="53"/>
    <x v="0"/>
    <x v="4"/>
    <s v="Both"/>
    <x v="2"/>
    <s v="SUDARSHAN PAINE"/>
    <s v="ASKA"/>
  </r>
  <r>
    <x v="54"/>
    <d v="2013-10-02T00:00:00"/>
    <x v="2"/>
    <n v="40"/>
    <x v="1"/>
    <x v="9"/>
    <s v="Both"/>
    <x v="0"/>
    <s v="SUDARSHAN PAINE"/>
    <s v="ASKA"/>
  </r>
  <r>
    <x v="55"/>
    <d v="2013-05-18T00:00:00"/>
    <x v="2"/>
    <n v="56"/>
    <x v="1"/>
    <x v="3"/>
    <s v="Both"/>
    <x v="0"/>
    <s v="SUDARSHAN PAINE"/>
    <s v="ASKA"/>
  </r>
  <r>
    <x v="56"/>
    <d v="2013-11-03T00:00:00"/>
    <x v="2"/>
    <n v="30"/>
    <x v="1"/>
    <x v="1"/>
    <s v="Kata"/>
    <x v="1"/>
    <s v="PARTHA DAS KARMAKAR"/>
    <s v="ASKA"/>
  </r>
  <r>
    <x v="57"/>
    <d v="2012-11-06T00:00:00"/>
    <x v="3"/>
    <n v="43"/>
    <x v="0"/>
    <x v="4"/>
    <s v="Both"/>
    <x v="1"/>
    <s v="PARTHA DAS KARMAKAR"/>
    <s v="ASKA"/>
  </r>
  <r>
    <x v="58"/>
    <d v="2012-04-23T00:00:00"/>
    <x v="3"/>
    <n v="40"/>
    <x v="1"/>
    <x v="3"/>
    <s v="Both"/>
    <x v="0"/>
    <s v="PARTHA DAS KARMAKAR"/>
    <s v="ASKA"/>
  </r>
  <r>
    <x v="59"/>
    <d v="2012-01-23T00:00:00"/>
    <x v="5"/>
    <n v="46"/>
    <x v="1"/>
    <x v="2"/>
    <s v="Both"/>
    <x v="2"/>
    <s v="PARTHA DAS KARMAKAR"/>
    <s v="ASKA"/>
  </r>
  <r>
    <x v="60"/>
    <d v="2012-07-12T00:00:00"/>
    <x v="3"/>
    <n v="30"/>
    <x v="1"/>
    <x v="1"/>
    <s v="Kata"/>
    <x v="1"/>
    <s v="PARTHA DAS KARMAKAR"/>
    <s v="ASKA"/>
  </r>
  <r>
    <x v="61"/>
    <d v="2011-09-24T00:00:00"/>
    <x v="5"/>
    <n v="54"/>
    <x v="0"/>
    <x v="9"/>
    <s v="Both"/>
    <x v="2"/>
    <s v="SUDARSHAN PAINE"/>
    <s v="ASKA"/>
  </r>
  <r>
    <x v="62"/>
    <d v="2010-03-03T00:00:00"/>
    <x v="8"/>
    <n v="37"/>
    <x v="1"/>
    <x v="8"/>
    <s v="Both"/>
    <x v="2"/>
    <s v="PARTHA DAS KARMAKAR"/>
    <s v="ASKA"/>
  </r>
  <r>
    <x v="63"/>
    <d v="2010-01-14T00:00:00"/>
    <x v="8"/>
    <n v="42"/>
    <x v="1"/>
    <x v="0"/>
    <s v="Both"/>
    <x v="0"/>
    <s v="PARTHA DAS KARMAKAR"/>
    <s v="ASKA"/>
  </r>
  <r>
    <x v="64"/>
    <d v="2010-10-17T00:00:00"/>
    <x v="6"/>
    <n v="49"/>
    <x v="1"/>
    <x v="8"/>
    <s v="Both"/>
    <x v="0"/>
    <s v="PARTHA DAS KARMAKAR"/>
    <s v="ASKA"/>
  </r>
  <r>
    <x v="65"/>
    <d v="2011-11-25T00:00:00"/>
    <x v="5"/>
    <n v="49"/>
    <x v="1"/>
    <x v="9"/>
    <s v="Both"/>
    <x v="1"/>
    <s v="SUDARSHAN PAINE"/>
    <s v="ASKA"/>
  </r>
  <r>
    <x v="66"/>
    <d v="2010-06-15T00:00:00"/>
    <x v="6"/>
    <n v="50"/>
    <x v="1"/>
    <x v="8"/>
    <s v="Both"/>
    <x v="1"/>
    <s v="PARTHA DAS KARMAKAR"/>
    <s v="ASKA"/>
  </r>
  <r>
    <x v="67"/>
    <d v="2010-01-26T00:00:00"/>
    <x v="8"/>
    <n v="50"/>
    <x v="1"/>
    <x v="3"/>
    <s v="Kata"/>
    <x v="0"/>
    <s v="PARTHA DAS KARMAKAR"/>
    <s v="ASKA"/>
  </r>
  <r>
    <x v="68"/>
    <d v="2009-06-17T00:00:00"/>
    <x v="8"/>
    <n v="65"/>
    <x v="1"/>
    <x v="6"/>
    <s v="Both"/>
    <x v="2"/>
    <s v="SUDARSHAN PAINE"/>
    <s v="ASKA"/>
  </r>
  <r>
    <x v="69"/>
    <d v="2006-11-25T00:00:00"/>
    <x v="17"/>
    <n v="51"/>
    <x v="0"/>
    <x v="5"/>
    <s v="Both"/>
    <x v="1"/>
    <s v="SUDARSHAN PAINE"/>
    <s v="ASKA"/>
  </r>
  <r>
    <x v="70"/>
    <d v="2003-08-23T00:00:00"/>
    <x v="18"/>
    <n v="52"/>
    <x v="0"/>
    <x v="9"/>
    <s v="Both"/>
    <x v="2"/>
    <s v="SIDDHARTHA DAS KARMAKAR"/>
    <s v="ASKA"/>
  </r>
  <r>
    <x v="71"/>
    <d v="2012-06-20T00:00:00"/>
    <x v="3"/>
    <n v="40"/>
    <x v="0"/>
    <x v="3"/>
    <s v="Both"/>
    <x v="2"/>
    <s v="PARTHA DAS KARMAKAR"/>
    <s v="ASKA (AB)"/>
  </r>
  <r>
    <x v="72"/>
    <d v="2016-06-20T00:00:00"/>
    <x v="16"/>
    <n v="40"/>
    <x v="0"/>
    <x v="8"/>
    <s v="Both"/>
    <x v="0"/>
    <s v="SIDDHARTHA DAS KARMAKAR"/>
    <s v="ASKA (BALARAMPUR)"/>
  </r>
  <r>
    <x v="73"/>
    <d v="2015-06-10T00:00:00"/>
    <x v="0"/>
    <n v="30"/>
    <x v="1"/>
    <x v="0"/>
    <s v="Both"/>
    <x v="0"/>
    <s v="SIDDHARTHA DAS KARMAKAR"/>
    <s v="ASKA (BALARAMPUR)"/>
  </r>
  <r>
    <x v="74"/>
    <d v="2015-08-23T00:00:00"/>
    <x v="0"/>
    <n v="32"/>
    <x v="1"/>
    <x v="8"/>
    <s v="Both"/>
    <x v="1"/>
    <s v="SIDDHARTHA DAS KARMAKAR"/>
    <s v="ASKA (BALARAMPUR)"/>
  </r>
  <r>
    <x v="75"/>
    <d v="2012-10-03T00:00:00"/>
    <x v="3"/>
    <n v="50"/>
    <x v="1"/>
    <x v="6"/>
    <s v="Both"/>
    <x v="1"/>
    <s v="SIDDHARTHA DAS KARMAKAR"/>
    <s v="ASKA (BALARAMPUR)"/>
  </r>
  <r>
    <x v="76"/>
    <d v="2010-07-21T00:00:00"/>
    <x v="6"/>
    <n v="35"/>
    <x v="0"/>
    <x v="8"/>
    <s v="Both"/>
    <x v="0"/>
    <s v="SIDDHARTHA DAS KARMAKAR"/>
    <s v="ASKA (BALARAMPUR)"/>
  </r>
  <r>
    <x v="77"/>
    <d v="2010-07-07T00:00:00"/>
    <x v="6"/>
    <n v="45"/>
    <x v="0"/>
    <x v="0"/>
    <s v="Both"/>
    <x v="2"/>
    <s v="SIDDHARTHA DAS KARMAKAR"/>
    <s v="ASKA (BALARAMPUR)"/>
  </r>
  <r>
    <x v="78"/>
    <d v="2008-09-02T00:00:00"/>
    <x v="7"/>
    <n v="65"/>
    <x v="0"/>
    <x v="8"/>
    <s v="Both"/>
    <x v="1"/>
    <s v="SIDDHARTHA DAS KARMAKAR"/>
    <s v="ASKA (BALARAMPUR)"/>
  </r>
  <r>
    <x v="79"/>
    <d v="2018-11-23T00:00:00"/>
    <x v="4"/>
    <n v="17"/>
    <x v="1"/>
    <x v="7"/>
    <s v="Both"/>
    <x v="2"/>
    <s v="DIPAK PRASAD"/>
    <s v="BAGKC"/>
  </r>
  <r>
    <x v="80"/>
    <d v="2009-12-18T00:00:00"/>
    <x v="8"/>
    <n v="40"/>
    <x v="0"/>
    <x v="9"/>
    <s v="Both"/>
    <x v="2"/>
    <s v="DIPAK PRASAD"/>
    <s v="BAGKC"/>
  </r>
  <r>
    <x v="81"/>
    <d v="2009-12-17T00:00:00"/>
    <x v="8"/>
    <n v="58"/>
    <x v="0"/>
    <x v="2"/>
    <s v="Both"/>
    <x v="0"/>
    <s v="DIPAK PRASAD"/>
    <s v="BAGKC"/>
  </r>
  <r>
    <x v="82"/>
    <d v="2018-01-31T00:00:00"/>
    <x v="15"/>
    <n v="31"/>
    <x v="1"/>
    <x v="1"/>
    <s v="Both"/>
    <x v="0"/>
    <s v="JAYANTA GUPTA"/>
    <s v="BKA (BUDBUD)"/>
  </r>
  <r>
    <x v="83"/>
    <d v="2016-09-08T00:00:00"/>
    <x v="16"/>
    <n v="28"/>
    <x v="1"/>
    <x v="1"/>
    <s v="Both"/>
    <x v="1"/>
    <s v="JAYANTA GUPTA"/>
    <s v="BKA (BUDBUD)"/>
  </r>
  <r>
    <x v="84"/>
    <d v="2014-07-26T00:00:00"/>
    <x v="1"/>
    <n v="30"/>
    <x v="0"/>
    <x v="1"/>
    <s v="Both"/>
    <x v="1"/>
    <s v="JAYANTA GUPTA"/>
    <s v="BKA (BUDBUD)"/>
  </r>
  <r>
    <x v="85"/>
    <d v="2014-01-15T00:00:00"/>
    <x v="2"/>
    <n v="55"/>
    <x v="1"/>
    <x v="9"/>
    <s v="Both"/>
    <x v="0"/>
    <s v="JAYANTA GUPTA"/>
    <s v="BKA (BUDBUD)"/>
  </r>
  <r>
    <x v="86"/>
    <d v="2013-08-25T00:00:00"/>
    <x v="2"/>
    <n v="35"/>
    <x v="0"/>
    <x v="10"/>
    <s v="Both"/>
    <x v="2"/>
    <s v="JAYANTA GUPTA"/>
    <s v="BKA (BUDBUD)"/>
  </r>
  <r>
    <x v="87"/>
    <d v="2018-03-17T00:00:00"/>
    <x v="15"/>
    <n v="27"/>
    <x v="1"/>
    <x v="0"/>
    <s v="Both"/>
    <x v="1"/>
    <s v="SHYAMAL NATH"/>
    <s v="BSKA"/>
  </r>
  <r>
    <x v="88"/>
    <d v="2018-06-15T00:00:00"/>
    <x v="4"/>
    <n v="29"/>
    <x v="1"/>
    <x v="0"/>
    <s v="Both"/>
    <x v="2"/>
    <s v="SHYAMAL NATH"/>
    <s v="BSKA"/>
  </r>
  <r>
    <x v="89"/>
    <d v="2017-05-15T00:00:00"/>
    <x v="15"/>
    <n v="25"/>
    <x v="0"/>
    <x v="8"/>
    <s v="Both"/>
    <x v="2"/>
    <s v="SHYAMAL NATH"/>
    <s v="BSKA"/>
  </r>
  <r>
    <x v="90"/>
    <d v="2016-05-02T00:00:00"/>
    <x v="16"/>
    <n v="29"/>
    <x v="0"/>
    <x v="0"/>
    <s v="Both"/>
    <x v="0"/>
    <s v="SHYAMAL NATH"/>
    <s v="BSKA"/>
  </r>
  <r>
    <x v="91"/>
    <d v="2015-09-05T00:00:00"/>
    <x v="0"/>
    <n v="48"/>
    <x v="0"/>
    <x v="1"/>
    <s v="Both"/>
    <x v="0"/>
    <s v="SHYAMAL NATH"/>
    <s v="BSKA"/>
  </r>
  <r>
    <x v="92"/>
    <d v="2015-07-09T00:00:00"/>
    <x v="0"/>
    <n v="51"/>
    <x v="0"/>
    <x v="0"/>
    <s v="Both"/>
    <x v="1"/>
    <s v="SHYAMAL NATH"/>
    <s v="BSKA"/>
  </r>
  <r>
    <x v="93"/>
    <d v="2015-01-27T00:00:00"/>
    <x v="1"/>
    <n v="24"/>
    <x v="1"/>
    <x v="7"/>
    <s v="Both"/>
    <x v="1"/>
    <s v="SHYAMAL NATH"/>
    <s v="BSKA"/>
  </r>
  <r>
    <x v="94"/>
    <d v="2014-09-15T00:00:00"/>
    <x v="1"/>
    <n v="29"/>
    <x v="1"/>
    <x v="1"/>
    <s v="Both"/>
    <x v="0"/>
    <s v="SHYAMAL NATH"/>
    <s v="BSKA"/>
  </r>
  <r>
    <x v="95"/>
    <d v="2013-01-23T00:00:00"/>
    <x v="3"/>
    <n v="41"/>
    <x v="0"/>
    <x v="0"/>
    <s v="Both"/>
    <x v="2"/>
    <s v="SHYAMAL NATH"/>
    <s v="BSKA"/>
  </r>
  <r>
    <x v="96"/>
    <d v="2013-05-12T00:00:00"/>
    <x v="2"/>
    <n v="55"/>
    <x v="0"/>
    <x v="9"/>
    <s v="Both"/>
    <x v="1"/>
    <s v="SHYAMAL NATH"/>
    <s v="BSKA"/>
  </r>
  <r>
    <x v="97"/>
    <d v="2013-09-01T00:00:00"/>
    <x v="2"/>
    <n v="34"/>
    <x v="1"/>
    <x v="0"/>
    <s v="Both"/>
    <x v="2"/>
    <s v="SHYAMAL NATH"/>
    <s v="BSKA"/>
  </r>
  <r>
    <x v="98"/>
    <d v="2013-01-21T00:00:00"/>
    <x v="3"/>
    <n v="44"/>
    <x v="1"/>
    <x v="6"/>
    <s v="Both"/>
    <x v="2"/>
    <s v="SHYAMAL NATH"/>
    <s v="BSKA"/>
  </r>
  <r>
    <x v="99"/>
    <d v="2013-06-02T00:00:00"/>
    <x v="2"/>
    <n v="65"/>
    <x v="1"/>
    <x v="6"/>
    <s v="Both"/>
    <x v="0"/>
    <s v="SHYAMAL NATH"/>
    <s v="BSKA"/>
  </r>
  <r>
    <x v="100"/>
    <d v="2012-09-17T00:00:00"/>
    <x v="3"/>
    <n v="37"/>
    <x v="1"/>
    <x v="3"/>
    <s v="Both"/>
    <x v="0"/>
    <s v="SHYAMAL NATH"/>
    <s v="BSKA"/>
  </r>
  <r>
    <x v="101"/>
    <d v="2012-06-19T00:00:00"/>
    <x v="3"/>
    <n v="37"/>
    <x v="1"/>
    <x v="2"/>
    <s v="Both"/>
    <x v="1"/>
    <s v="SHYAMAL NATH"/>
    <s v="BSKA"/>
  </r>
  <r>
    <x v="102"/>
    <d v="2010-12-12T00:00:00"/>
    <x v="6"/>
    <n v="42"/>
    <x v="0"/>
    <x v="9"/>
    <s v="Both"/>
    <x v="1"/>
    <s v="SHYAMAL NATH"/>
    <s v="BSKA"/>
  </r>
  <r>
    <x v="103"/>
    <d v="2010-05-07T00:00:00"/>
    <x v="6"/>
    <n v="64"/>
    <x v="0"/>
    <x v="4"/>
    <s v="Both"/>
    <x v="0"/>
    <s v="SHYAMAL NATH"/>
    <s v="BSKA"/>
  </r>
  <r>
    <x v="104"/>
    <d v="2007-08-23T00:00:00"/>
    <x v="12"/>
    <n v="74"/>
    <x v="0"/>
    <x v="6"/>
    <s v="Both"/>
    <x v="2"/>
    <s v="SHYAMAL NATH"/>
    <s v="BSKA"/>
  </r>
  <r>
    <x v="105"/>
    <d v="2018-08-17T00:00:00"/>
    <x v="4"/>
    <n v="21"/>
    <x v="1"/>
    <x v="10"/>
    <s v="Both"/>
    <x v="1"/>
    <s v="DIPAK MUKHERJEE"/>
    <s v="DKA"/>
  </r>
  <r>
    <x v="106"/>
    <d v="2017-07-03T00:00:00"/>
    <x v="15"/>
    <n v="25"/>
    <x v="1"/>
    <x v="7"/>
    <s v="Both"/>
    <x v="2"/>
    <s v="DIPAK MUKHERJEE"/>
    <s v="DKA"/>
  </r>
  <r>
    <x v="107"/>
    <d v="2016-09-20T00:00:00"/>
    <x v="16"/>
    <n v="37"/>
    <x v="1"/>
    <x v="8"/>
    <s v="Both"/>
    <x v="2"/>
    <s v="DIPAK MUKHERJEE"/>
    <s v="DKA"/>
  </r>
  <r>
    <x v="108"/>
    <d v="2012-09-09T00:00:00"/>
    <x v="3"/>
    <n v="32"/>
    <x v="0"/>
    <x v="10"/>
    <s v="Both"/>
    <x v="0"/>
    <s v="DIPAK MUKHERJEE"/>
    <s v="DKA"/>
  </r>
  <r>
    <x v="109"/>
    <d v="2011-12-11T00:00:00"/>
    <x v="5"/>
    <n v="38"/>
    <x v="0"/>
    <x v="8"/>
    <s v="Both"/>
    <x v="0"/>
    <s v="DIPAK MUKHERJEE"/>
    <s v="DKA"/>
  </r>
  <r>
    <x v="110"/>
    <d v="2011-08-06T00:00:00"/>
    <x v="5"/>
    <n v="54"/>
    <x v="1"/>
    <x v="7"/>
    <s v="Both"/>
    <x v="1"/>
    <s v="DIPAK MUKHERJEE"/>
    <s v="DKA"/>
  </r>
  <r>
    <x v="111"/>
    <d v="2000-07-16T00:00:00"/>
    <x v="10"/>
    <n v="52"/>
    <x v="1"/>
    <x v="10"/>
    <s v="Both"/>
    <x v="1"/>
    <s v="DIPAK MUKHERJEE"/>
    <s v="DKA"/>
  </r>
  <r>
    <x v="112"/>
    <d v="2018-03-01T00:00:00"/>
    <x v="15"/>
    <n v="39"/>
    <x v="1"/>
    <x v="1"/>
    <s v="Both"/>
    <x v="0"/>
    <s v="JAYANTA GUPTA"/>
    <s v="GKA (GALSI)"/>
  </r>
  <r>
    <x v="113"/>
    <d v="2017-09-05T00:00:00"/>
    <x v="15"/>
    <n v="20"/>
    <x v="1"/>
    <x v="0"/>
    <s v="Both"/>
    <x v="2"/>
    <s v="JAYANTA GUPTA"/>
    <s v="GKA (GALSI)"/>
  </r>
  <r>
    <x v="114"/>
    <d v="2016-07-27T00:00:00"/>
    <x v="16"/>
    <n v="27"/>
    <x v="1"/>
    <x v="8"/>
    <s v="Both"/>
    <x v="1"/>
    <s v="JAYANTA GUPTA"/>
    <s v="GKA (GALSI)"/>
  </r>
  <r>
    <x v="115"/>
    <d v="2016-07-21T00:00:00"/>
    <x v="16"/>
    <n v="35"/>
    <x v="1"/>
    <x v="9"/>
    <s v="Both"/>
    <x v="2"/>
    <s v="JAYANTA GUPTA"/>
    <s v="GKA (GALSI)"/>
  </r>
  <r>
    <x v="116"/>
    <d v="2016-06-01T00:00:00"/>
    <x v="16"/>
    <n v="45"/>
    <x v="1"/>
    <x v="8"/>
    <s v="Both"/>
    <x v="2"/>
    <s v="JAYANTA GUPTA"/>
    <s v="GKA (GALSI)"/>
  </r>
  <r>
    <x v="117"/>
    <d v="2015-06-25T00:00:00"/>
    <x v="0"/>
    <n v="30"/>
    <x v="0"/>
    <x v="1"/>
    <s v="Both"/>
    <x v="0"/>
    <s v="JAYANTA GUPTA"/>
    <s v="GKA (GALSI)"/>
  </r>
  <r>
    <x v="118"/>
    <d v="2015-06-11T00:00:00"/>
    <x v="0"/>
    <n v="25"/>
    <x v="1"/>
    <x v="1"/>
    <s v="Both"/>
    <x v="0"/>
    <s v="JAYANTA GUPTA"/>
    <s v="GKA (GALSI)"/>
  </r>
  <r>
    <x v="119"/>
    <d v="2013-03-13T00:00:00"/>
    <x v="3"/>
    <n v="30"/>
    <x v="0"/>
    <x v="0"/>
    <s v="Both"/>
    <x v="1"/>
    <s v="JAYANTA GUPTA"/>
    <s v="GKA (GALSI)"/>
  </r>
  <r>
    <x v="120"/>
    <d v="2013-02-07T00:00:00"/>
    <x v="3"/>
    <n v="55"/>
    <x v="1"/>
    <x v="9"/>
    <s v="Both"/>
    <x v="1"/>
    <s v="JAYANTA GUPTA"/>
    <s v="GKA (GALSI)"/>
  </r>
  <r>
    <x v="121"/>
    <d v="2012-04-26T00:00:00"/>
    <x v="3"/>
    <n v="50"/>
    <x v="1"/>
    <x v="1"/>
    <s v="Both"/>
    <x v="0"/>
    <s v="JAYANTA GUPTA"/>
    <s v="GKA (GALSI)"/>
  </r>
  <r>
    <x v="122"/>
    <d v="2011-11-25T00:00:00"/>
    <x v="5"/>
    <n v="45"/>
    <x v="0"/>
    <x v="2"/>
    <s v="Both"/>
    <x v="2"/>
    <s v="JAYANTA GUPTA"/>
    <s v="GKA (GALSI)"/>
  </r>
  <r>
    <x v="123"/>
    <d v="2010-08-03T00:00:00"/>
    <x v="6"/>
    <n v="55"/>
    <x v="0"/>
    <x v="10"/>
    <s v="Both"/>
    <x v="1"/>
    <s v="JAYANTA GUPTA"/>
    <s v="GKA (GALSI)"/>
  </r>
  <r>
    <x v="124"/>
    <d v="2010-10-22T00:00:00"/>
    <x v="6"/>
    <n v="42"/>
    <x v="1"/>
    <x v="6"/>
    <s v="Both"/>
    <x v="2"/>
    <s v="JAYANTA GUPTA"/>
    <s v="GKA (GALSI)"/>
  </r>
  <r>
    <x v="125"/>
    <d v="2011-09-17T00:00:00"/>
    <x v="5"/>
    <n v="45"/>
    <x v="1"/>
    <x v="0"/>
    <s v="Both"/>
    <x v="2"/>
    <s v="JAYANTA GUPTA"/>
    <s v="GKA (GALSI)"/>
  </r>
  <r>
    <x v="126"/>
    <d v="2011-11-04T00:00:00"/>
    <x v="5"/>
    <n v="55"/>
    <x v="1"/>
    <x v="3"/>
    <s v="Both"/>
    <x v="0"/>
    <s v="JAYANTA GUPTA"/>
    <s v="GKA (GALSI)"/>
  </r>
  <r>
    <x v="127"/>
    <d v="1987-11-27T00:00:00"/>
    <x v="19"/>
    <n v="68"/>
    <x v="1"/>
    <x v="7"/>
    <s v="Kata"/>
    <x v="0"/>
    <s v="JAYANTA GUPTA"/>
    <s v="GKA (GALSI)"/>
  </r>
  <r>
    <x v="128"/>
    <d v="2017-06-05T00:00:00"/>
    <x v="15"/>
    <n v="35"/>
    <x v="1"/>
    <x v="8"/>
    <s v="Kumite"/>
    <x v="1"/>
    <s v="JAYANTA GUPTA"/>
    <s v="GKA (GALSI)"/>
  </r>
  <r>
    <x v="129"/>
    <d v="2011-06-07T00:00:00"/>
    <x v="5"/>
    <n v="38"/>
    <x v="0"/>
    <x v="8"/>
    <s v="Kumite"/>
    <x v="1"/>
    <s v="JAYANTA GUPTA"/>
    <s v="GKA (GALSI)"/>
  </r>
  <r>
    <x v="130"/>
    <d v="2019-08-15T00:00:00"/>
    <x v="14"/>
    <n v="20"/>
    <x v="0"/>
    <x v="8"/>
    <s v="Both"/>
    <x v="0"/>
    <s v="MOHADEB SARKAR"/>
    <s v="GMAA"/>
  </r>
  <r>
    <x v="131"/>
    <d v="2013-06-02T00:00:00"/>
    <x v="2"/>
    <n v="53"/>
    <x v="0"/>
    <x v="11"/>
    <s v="Both"/>
    <x v="2"/>
    <s v="MOHADEB SARKAR"/>
    <s v="GMAA"/>
  </r>
  <r>
    <x v="132"/>
    <d v="2012-04-07T00:00:00"/>
    <x v="3"/>
    <n v="44"/>
    <x v="0"/>
    <x v="5"/>
    <s v="Both"/>
    <x v="1"/>
    <s v="MOHADEB SARKAR"/>
    <s v="GMAA"/>
  </r>
  <r>
    <x v="133"/>
    <d v="2012-05-27T00:00:00"/>
    <x v="3"/>
    <n v="47"/>
    <x v="0"/>
    <x v="9"/>
    <s v="Both"/>
    <x v="2"/>
    <s v="MOHADEB SARKAR"/>
    <s v="GMAA"/>
  </r>
  <r>
    <x v="134"/>
    <d v="2010-10-25T00:00:00"/>
    <x v="6"/>
    <n v="49"/>
    <x v="0"/>
    <x v="2"/>
    <s v="Both"/>
    <x v="2"/>
    <s v="MOHADEB SARKAR"/>
    <s v="GMAA"/>
  </r>
  <r>
    <x v="135"/>
    <d v="2011-06-30T00:00:00"/>
    <x v="5"/>
    <n v="35"/>
    <x v="1"/>
    <x v="5"/>
    <s v="Both"/>
    <x v="0"/>
    <s v="MOHADEB SARKAR"/>
    <s v="GMAA"/>
  </r>
  <r>
    <x v="136"/>
    <d v="2009-04-25T00:00:00"/>
    <x v="8"/>
    <n v="40"/>
    <x v="1"/>
    <x v="6"/>
    <s v="Both"/>
    <x v="0"/>
    <s v="MOHADEB SARKAR"/>
    <s v="GMAA"/>
  </r>
  <r>
    <x v="137"/>
    <d v="2008-12-29T00:00:00"/>
    <x v="7"/>
    <n v="51"/>
    <x v="1"/>
    <x v="2"/>
    <s v="Both"/>
    <x v="1"/>
    <s v="MOHADEB SARKAR"/>
    <s v="GMAA"/>
  </r>
  <r>
    <x v="138"/>
    <d v="2008-03-21T00:00:00"/>
    <x v="12"/>
    <n v="52"/>
    <x v="1"/>
    <x v="2"/>
    <s v="Both"/>
    <x v="1"/>
    <s v="MOHADEB SARKAR"/>
    <s v="GMAA"/>
  </r>
  <r>
    <x v="139"/>
    <d v="2007-12-07T00:00:00"/>
    <x v="12"/>
    <n v="38"/>
    <x v="1"/>
    <x v="0"/>
    <s v="Both"/>
    <x v="0"/>
    <s v="MOHADEB SARKAR"/>
    <s v="GMAA"/>
  </r>
  <r>
    <x v="140"/>
    <d v="2001-02-18T00:00:00"/>
    <x v="10"/>
    <n v="42"/>
    <x v="1"/>
    <x v="4"/>
    <s v="Both"/>
    <x v="2"/>
    <s v="MOHADEB SARKAR"/>
    <s v="GMAA"/>
  </r>
  <r>
    <x v="141"/>
    <d v="2001-05-05T00:00:00"/>
    <x v="20"/>
    <n v="50"/>
    <x v="1"/>
    <x v="2"/>
    <s v="Both"/>
    <x v="1"/>
    <s v="MOHADEB SARKAR"/>
    <s v="GMAA"/>
  </r>
  <r>
    <x v="142"/>
    <d v="2020-03-02T00:00:00"/>
    <x v="14"/>
    <n v="23"/>
    <x v="0"/>
    <x v="7"/>
    <s v="Both"/>
    <x v="2"/>
    <s v="SANKAR ROUTH"/>
    <s v="JKC"/>
  </r>
  <r>
    <x v="143"/>
    <d v="2020-08-03T00:00:00"/>
    <x v="13"/>
    <n v="24"/>
    <x v="0"/>
    <x v="8"/>
    <s v="Both"/>
    <x v="2"/>
    <s v="SANKAR ROUTH"/>
    <s v="JKC"/>
  </r>
  <r>
    <x v="144"/>
    <d v="2020-03-05T00:00:00"/>
    <x v="14"/>
    <n v="17"/>
    <x v="1"/>
    <x v="1"/>
    <s v="Both"/>
    <x v="0"/>
    <s v="SANKAR ROUTH"/>
    <s v="JKC"/>
  </r>
  <r>
    <x v="145"/>
    <d v="2021-02-25T00:00:00"/>
    <x v="13"/>
    <n v="21"/>
    <x v="1"/>
    <x v="7"/>
    <s v="Both"/>
    <x v="0"/>
    <s v="SANKAR ROUTH"/>
    <s v="JKC"/>
  </r>
  <r>
    <x v="146"/>
    <d v="2020-01-04T00:00:00"/>
    <x v="14"/>
    <n v="20"/>
    <x v="1"/>
    <x v="7"/>
    <s v="Both"/>
    <x v="1"/>
    <s v="SANKAR ROUTH"/>
    <s v="JKC"/>
  </r>
  <r>
    <x v="147"/>
    <d v="2020-02-24T00:00:00"/>
    <x v="14"/>
    <n v="25"/>
    <x v="1"/>
    <x v="0"/>
    <s v="Both"/>
    <x v="1"/>
    <s v="SANKAR ROUTH"/>
    <s v="JKC"/>
  </r>
  <r>
    <x v="148"/>
    <d v="2019-01-13T00:00:00"/>
    <x v="4"/>
    <n v="19"/>
    <x v="0"/>
    <x v="7"/>
    <s v="Both"/>
    <x v="0"/>
    <s v="SANKAR ROUTH"/>
    <s v="JKC"/>
  </r>
  <r>
    <x v="149"/>
    <d v="2019-11-23T00:00:00"/>
    <x v="14"/>
    <n v="20"/>
    <x v="0"/>
    <x v="1"/>
    <s v="Both"/>
    <x v="2"/>
    <s v="SANKAR ROUTH"/>
    <s v="JKC"/>
  </r>
  <r>
    <x v="150"/>
    <d v="2019-05-12T00:00:00"/>
    <x v="14"/>
    <n v="19"/>
    <x v="1"/>
    <x v="7"/>
    <s v="Both"/>
    <x v="1"/>
    <s v="SANKAR ROUTH"/>
    <s v="JKC"/>
  </r>
  <r>
    <x v="151"/>
    <d v="2019-09-06T00:00:00"/>
    <x v="14"/>
    <n v="20"/>
    <x v="1"/>
    <x v="1"/>
    <s v="Both"/>
    <x v="2"/>
    <s v="SANKAR ROUTH"/>
    <s v="JKC"/>
  </r>
  <r>
    <x v="152"/>
    <d v="2018-01-06T00:00:00"/>
    <x v="15"/>
    <n v="20"/>
    <x v="0"/>
    <x v="10"/>
    <s v="Both"/>
    <x v="2"/>
    <s v="SANKAR ROUTH"/>
    <s v="JKC"/>
  </r>
  <r>
    <x v="153"/>
    <d v="2018-12-10T00:00:00"/>
    <x v="4"/>
    <n v="16"/>
    <x v="1"/>
    <x v="0"/>
    <s v="Both"/>
    <x v="0"/>
    <s v="SANKAR ROUTH"/>
    <s v="JKC"/>
  </r>
  <r>
    <x v="154"/>
    <d v="2017-11-04T00:00:00"/>
    <x v="15"/>
    <n v="20"/>
    <x v="0"/>
    <x v="8"/>
    <s v="Both"/>
    <x v="0"/>
    <s v="SANKAR ROUTH"/>
    <s v="JKC"/>
  </r>
  <r>
    <x v="155"/>
    <d v="2017-06-08T00:00:00"/>
    <x v="15"/>
    <n v="21.7"/>
    <x v="0"/>
    <x v="1"/>
    <s v="Both"/>
    <x v="1"/>
    <s v="SANKAR ROUTH"/>
    <s v="JKC"/>
  </r>
  <r>
    <x v="156"/>
    <d v="2017-10-31T00:00:00"/>
    <x v="15"/>
    <n v="25"/>
    <x v="0"/>
    <x v="8"/>
    <s v="Both"/>
    <x v="1"/>
    <s v="SANKAR ROUTH"/>
    <s v="JKC"/>
  </r>
  <r>
    <x v="157"/>
    <d v="2017-09-17T00:00:00"/>
    <x v="15"/>
    <n v="27"/>
    <x v="0"/>
    <x v="8"/>
    <s v="Both"/>
    <x v="0"/>
    <s v="SANKAR ROUTH"/>
    <s v="JKC"/>
  </r>
  <r>
    <x v="158"/>
    <d v="2017-10-28T00:00:00"/>
    <x v="15"/>
    <n v="30"/>
    <x v="0"/>
    <x v="8"/>
    <s v="Both"/>
    <x v="2"/>
    <s v="SANKAR ROUTH"/>
    <s v="JKC"/>
  </r>
  <r>
    <x v="159"/>
    <d v="2017-07-12T00:00:00"/>
    <x v="15"/>
    <n v="30"/>
    <x v="0"/>
    <x v="8"/>
    <s v="Both"/>
    <x v="1"/>
    <s v="SANKAR ROUTH"/>
    <s v="JKC"/>
  </r>
  <r>
    <x v="160"/>
    <d v="2017-04-25T00:00:00"/>
    <x v="15"/>
    <n v="35"/>
    <x v="0"/>
    <x v="6"/>
    <s v="Both"/>
    <x v="2"/>
    <s v="SANKAR ROUTH"/>
    <s v="JKC"/>
  </r>
  <r>
    <x v="161"/>
    <d v="2017-05-07T00:00:00"/>
    <x v="15"/>
    <n v="35"/>
    <x v="0"/>
    <x v="4"/>
    <s v="Both"/>
    <x v="2"/>
    <s v="SANKAR ROUTH"/>
    <s v="JKC"/>
  </r>
  <r>
    <x v="162"/>
    <d v="2017-07-10T00:00:00"/>
    <x v="15"/>
    <n v="20"/>
    <x v="1"/>
    <x v="1"/>
    <s v="Both"/>
    <x v="0"/>
    <s v="SANKAR ROUTH"/>
    <s v="JKC"/>
  </r>
  <r>
    <x v="163"/>
    <d v="2016-07-18T00:00:00"/>
    <x v="16"/>
    <n v="24"/>
    <x v="0"/>
    <x v="8"/>
    <s v="Both"/>
    <x v="0"/>
    <s v="SANKAR ROUTH"/>
    <s v="JKC"/>
  </r>
  <r>
    <x v="164"/>
    <d v="2016-11-06T00:00:00"/>
    <x v="16"/>
    <n v="30"/>
    <x v="0"/>
    <x v="3"/>
    <s v="Both"/>
    <x v="1"/>
    <s v="SANKAR ROUTH"/>
    <s v="JKC"/>
  </r>
  <r>
    <x v="165"/>
    <d v="2016-12-18T00:00:00"/>
    <x v="16"/>
    <n v="23"/>
    <x v="1"/>
    <x v="0"/>
    <s v="Both"/>
    <x v="1"/>
    <s v="SANKAR ROUTH"/>
    <s v="JKC"/>
  </r>
  <r>
    <x v="166"/>
    <d v="2016-02-29T00:00:00"/>
    <x v="0"/>
    <n v="23"/>
    <x v="1"/>
    <x v="0"/>
    <s v="Both"/>
    <x v="0"/>
    <s v="SANKAR ROUTH"/>
    <s v="JKC"/>
  </r>
  <r>
    <x v="167"/>
    <d v="2016-10-12T00:00:00"/>
    <x v="16"/>
    <n v="24"/>
    <x v="1"/>
    <x v="3"/>
    <s v="Both"/>
    <x v="2"/>
    <s v="SANKAR ROUTH"/>
    <s v="JKC"/>
  </r>
  <r>
    <x v="168"/>
    <d v="2016-11-29T00:00:00"/>
    <x v="16"/>
    <n v="30"/>
    <x v="1"/>
    <x v="1"/>
    <s v="Both"/>
    <x v="1"/>
    <s v="SANKAR ROUTH"/>
    <s v="JKC"/>
  </r>
  <r>
    <x v="169"/>
    <d v="2016-09-02T00:00:00"/>
    <x v="16"/>
    <n v="39"/>
    <x v="1"/>
    <x v="10"/>
    <s v="Both"/>
    <x v="2"/>
    <s v="SANKAR ROUTH"/>
    <s v="JKC"/>
  </r>
  <r>
    <x v="170"/>
    <d v="2015-08-23T00:00:00"/>
    <x v="0"/>
    <n v="24"/>
    <x v="0"/>
    <x v="8"/>
    <s v="Both"/>
    <x v="2"/>
    <s v="SANKAR ROUTH"/>
    <s v="JKC"/>
  </r>
  <r>
    <x v="171"/>
    <d v="2015-09-15T00:00:00"/>
    <x v="0"/>
    <n v="30"/>
    <x v="0"/>
    <x v="1"/>
    <s v="Both"/>
    <x v="0"/>
    <s v="SANKAR ROUTH"/>
    <s v="JKC"/>
  </r>
  <r>
    <x v="172"/>
    <d v="2015-10-31T00:00:00"/>
    <x v="0"/>
    <n v="30.7"/>
    <x v="0"/>
    <x v="1"/>
    <s v="Both"/>
    <x v="0"/>
    <s v="SANKAR ROUTH "/>
    <s v="JKC"/>
  </r>
  <r>
    <x v="173"/>
    <d v="2015-09-28T00:00:00"/>
    <x v="0"/>
    <n v="45"/>
    <x v="0"/>
    <x v="8"/>
    <s v="Both"/>
    <x v="1"/>
    <s v="SANKAR ROUTH"/>
    <s v="JKC"/>
  </r>
  <r>
    <x v="174"/>
    <d v="2015-11-13T00:00:00"/>
    <x v="0"/>
    <n v="28"/>
    <x v="1"/>
    <x v="10"/>
    <s v="Both"/>
    <x v="1"/>
    <s v="SANKAR ROUTH"/>
    <s v="JKC"/>
  </r>
  <r>
    <x v="175"/>
    <d v="2015-10-29T00:00:00"/>
    <x v="0"/>
    <n v="33"/>
    <x v="1"/>
    <x v="2"/>
    <s v="Both"/>
    <x v="0"/>
    <s v="SANKAR ROUTH"/>
    <s v="JKC"/>
  </r>
  <r>
    <x v="176"/>
    <d v="2014-02-25T00:00:00"/>
    <x v="2"/>
    <n v="27"/>
    <x v="0"/>
    <x v="6"/>
    <s v="Both"/>
    <x v="2"/>
    <s v="SANKAR ROUTH"/>
    <s v="JKC"/>
  </r>
  <r>
    <x v="177"/>
    <d v="2014-11-20T00:00:00"/>
    <x v="1"/>
    <n v="29"/>
    <x v="0"/>
    <x v="4"/>
    <s v="Both"/>
    <x v="1"/>
    <s v="SANKAR ROUTH"/>
    <s v="JKC"/>
  </r>
  <r>
    <x v="178"/>
    <d v="2014-04-24T00:00:00"/>
    <x v="1"/>
    <n v="30"/>
    <x v="0"/>
    <x v="6"/>
    <s v="Both"/>
    <x v="2"/>
    <s v="SANKAR ROUTH"/>
    <s v="JKC"/>
  </r>
  <r>
    <x v="179"/>
    <d v="2014-06-25T00:00:00"/>
    <x v="1"/>
    <n v="36"/>
    <x v="0"/>
    <x v="8"/>
    <s v="Both"/>
    <x v="2"/>
    <s v="SANKAR ROUTH"/>
    <s v="JKC"/>
  </r>
  <r>
    <x v="180"/>
    <d v="2014-07-09T00:00:00"/>
    <x v="1"/>
    <n v="34"/>
    <x v="1"/>
    <x v="6"/>
    <s v="Both"/>
    <x v="0"/>
    <s v="SANKAR ROUTH"/>
    <s v="JKC"/>
  </r>
  <r>
    <x v="181"/>
    <d v="2013-09-23T00:00:00"/>
    <x v="2"/>
    <n v="25"/>
    <x v="0"/>
    <x v="8"/>
    <s v="Both"/>
    <x v="0"/>
    <s v="SANKAR ROUTH"/>
    <s v="JKC"/>
  </r>
  <r>
    <x v="182"/>
    <d v="2013-02-04T00:00:00"/>
    <x v="3"/>
    <n v="34"/>
    <x v="0"/>
    <x v="2"/>
    <s v="Both"/>
    <x v="1"/>
    <s v="SANKAR ROUTH"/>
    <s v="JKC"/>
  </r>
  <r>
    <x v="183"/>
    <d v="2013-11-06T00:00:00"/>
    <x v="2"/>
    <n v="40"/>
    <x v="0"/>
    <x v="6"/>
    <s v="Both"/>
    <x v="1"/>
    <s v="SANKAR ROUTH"/>
    <s v="JKC"/>
  </r>
  <r>
    <x v="184"/>
    <d v="2013-01-29T00:00:00"/>
    <x v="3"/>
    <n v="45"/>
    <x v="0"/>
    <x v="5"/>
    <s v="Both"/>
    <x v="0"/>
    <s v="SANKAR ROUTH"/>
    <s v="JKC"/>
  </r>
  <r>
    <x v="185"/>
    <d v="2013-08-06T00:00:00"/>
    <x v="2"/>
    <n v="57"/>
    <x v="0"/>
    <x v="7"/>
    <s v="Both"/>
    <x v="2"/>
    <s v="SANKAR ROUTH"/>
    <s v="JKC"/>
  </r>
  <r>
    <x v="186"/>
    <d v="2013-12-11T00:00:00"/>
    <x v="2"/>
    <n v="30"/>
    <x v="1"/>
    <x v="9"/>
    <s v="Both"/>
    <x v="1"/>
    <s v="SANKAR ROUTH"/>
    <s v="JKC"/>
  </r>
  <r>
    <x v="187"/>
    <d v="2013-10-15T00:00:00"/>
    <x v="2"/>
    <n v="35"/>
    <x v="1"/>
    <x v="2"/>
    <s v="Both"/>
    <x v="2"/>
    <s v="SANKAR ROUTH"/>
    <s v="JKC"/>
  </r>
  <r>
    <x v="188"/>
    <d v="2013-03-04T00:00:00"/>
    <x v="3"/>
    <n v="40"/>
    <x v="1"/>
    <x v="9"/>
    <s v="Both"/>
    <x v="2"/>
    <s v="SANKAR ROUTH"/>
    <s v="JKC"/>
  </r>
  <r>
    <x v="189"/>
    <d v="2013-12-18T00:00:00"/>
    <x v="2"/>
    <n v="46"/>
    <x v="1"/>
    <x v="8"/>
    <s v="Both"/>
    <x v="0"/>
    <s v="SANKAR ROUTH"/>
    <s v="JKC"/>
  </r>
  <r>
    <x v="190"/>
    <d v="2013-08-27T00:00:00"/>
    <x v="2"/>
    <n v="47"/>
    <x v="1"/>
    <x v="2"/>
    <s v="Both"/>
    <x v="0"/>
    <s v="SANKAR ROUTH"/>
    <s v="JKC"/>
  </r>
  <r>
    <x v="191"/>
    <d v="2012-02-08T00:00:00"/>
    <x v="5"/>
    <n v="48"/>
    <x v="0"/>
    <x v="3"/>
    <s v="Both"/>
    <x v="1"/>
    <s v="SANKAR ROUTH"/>
    <s v="JKC"/>
  </r>
  <r>
    <x v="192"/>
    <d v="2012-05-28T00:00:00"/>
    <x v="3"/>
    <n v="54"/>
    <x v="0"/>
    <x v="8"/>
    <s v="Both"/>
    <x v="1"/>
    <s v="SANKAR ROUTH"/>
    <s v="JKC"/>
  </r>
  <r>
    <x v="193"/>
    <d v="2012-10-10T00:00:00"/>
    <x v="3"/>
    <n v="56"/>
    <x v="0"/>
    <x v="6"/>
    <s v="Both"/>
    <x v="0"/>
    <s v="SANKAR ROUTH"/>
    <s v="JKC"/>
  </r>
  <r>
    <x v="194"/>
    <d v="2012-11-08T00:00:00"/>
    <x v="3"/>
    <n v="40"/>
    <x v="1"/>
    <x v="9"/>
    <s v="Both"/>
    <x v="2"/>
    <s v="SANKAR ROUTH"/>
    <s v="JKC"/>
  </r>
  <r>
    <x v="195"/>
    <d v="2012-11-29T00:00:00"/>
    <x v="3"/>
    <n v="56"/>
    <x v="1"/>
    <x v="9"/>
    <s v="Both"/>
    <x v="1"/>
    <s v="SANKAR ROUTH"/>
    <s v="JKC"/>
  </r>
  <r>
    <x v="196"/>
    <d v="2010-07-26T00:00:00"/>
    <x v="6"/>
    <n v="45"/>
    <x v="0"/>
    <x v="0"/>
    <s v="Both"/>
    <x v="2"/>
    <s v="SANKAR ROUTH"/>
    <s v="JKC"/>
  </r>
  <r>
    <x v="197"/>
    <d v="2010-12-13T00:00:00"/>
    <x v="6"/>
    <n v="48"/>
    <x v="0"/>
    <x v="5"/>
    <s v="Both"/>
    <x v="2"/>
    <s v="SANKAR ROUTH"/>
    <s v="JKC"/>
  </r>
  <r>
    <x v="198"/>
    <d v="2011-06-11T00:00:00"/>
    <x v="5"/>
    <n v="52"/>
    <x v="0"/>
    <x v="8"/>
    <s v="Both"/>
    <x v="0"/>
    <s v="SANKAR ROUTH"/>
    <s v="JKC"/>
  </r>
  <r>
    <x v="199"/>
    <d v="2010-12-03T00:00:00"/>
    <x v="6"/>
    <n v="52"/>
    <x v="0"/>
    <x v="7"/>
    <s v="Both"/>
    <x v="0"/>
    <s v="SANKAR ROUTH"/>
    <s v="JKC"/>
  </r>
  <r>
    <x v="200"/>
    <d v="2011-06-07T00:00:00"/>
    <x v="5"/>
    <n v="63"/>
    <x v="0"/>
    <x v="9"/>
    <s v="Both"/>
    <x v="1"/>
    <s v="SANKAR ROUTH"/>
    <s v="JKC"/>
  </r>
  <r>
    <x v="201"/>
    <d v="2011-06-12T00:00:00"/>
    <x v="5"/>
    <n v="67"/>
    <x v="0"/>
    <x v="9"/>
    <s v="Both"/>
    <x v="1"/>
    <s v="SANKAR ROUTH"/>
    <s v="JKC"/>
  </r>
  <r>
    <x v="202"/>
    <d v="2010-11-30T00:00:00"/>
    <x v="6"/>
    <n v="39"/>
    <x v="1"/>
    <x v="3"/>
    <s v="Both"/>
    <x v="0"/>
    <s v="SANKAR ROUTH"/>
    <s v="JKC"/>
  </r>
  <r>
    <x v="203"/>
    <d v="2010-09-19T00:00:00"/>
    <x v="6"/>
    <n v="42"/>
    <x v="1"/>
    <x v="0"/>
    <s v="Both"/>
    <x v="2"/>
    <s v="SANKAR ROUTH"/>
    <s v="JKC"/>
  </r>
  <r>
    <x v="204"/>
    <d v="2010-12-13T00:00:00"/>
    <x v="6"/>
    <n v="43"/>
    <x v="1"/>
    <x v="5"/>
    <s v="Both"/>
    <x v="1"/>
    <s v="SANKAR ROUTH"/>
    <s v="JKC"/>
  </r>
  <r>
    <x v="205"/>
    <d v="2011-06-06T00:00:00"/>
    <x v="5"/>
    <n v="45"/>
    <x v="1"/>
    <x v="10"/>
    <s v="Both"/>
    <x v="2"/>
    <s v="SANKAR ROUTH"/>
    <s v="JKC"/>
  </r>
  <r>
    <x v="206"/>
    <d v="2010-06-30T00:00:00"/>
    <x v="6"/>
    <n v="50"/>
    <x v="1"/>
    <x v="2"/>
    <s v="Both"/>
    <x v="2"/>
    <s v="SANKAR ROUTH"/>
    <s v="JKC"/>
  </r>
  <r>
    <x v="207"/>
    <d v="2010-07-20T00:00:00"/>
    <x v="6"/>
    <n v="35"/>
    <x v="1"/>
    <x v="7"/>
    <s v="Kata"/>
    <x v="0"/>
    <s v="SANKAR ROUTH"/>
    <s v="JKC"/>
  </r>
  <r>
    <x v="208"/>
    <d v="2003-10-11T00:00:00"/>
    <x v="18"/>
    <n v="52"/>
    <x v="0"/>
    <x v="10"/>
    <s v="Both"/>
    <x v="0"/>
    <s v="SANKAR ROUTH"/>
    <s v="JKC"/>
  </r>
  <r>
    <x v="209"/>
    <d v="2006-03-27T00:00:00"/>
    <x v="17"/>
    <n v="60"/>
    <x v="0"/>
    <x v="2"/>
    <s v="Both"/>
    <x v="1"/>
    <s v="SANKAR ROUTH"/>
    <s v="JKC"/>
  </r>
  <r>
    <x v="210"/>
    <d v="2007-09-01T00:00:00"/>
    <x v="12"/>
    <n v="42"/>
    <x v="1"/>
    <x v="3"/>
    <s v="Both"/>
    <x v="1"/>
    <s v="SANKAR ROUTH"/>
    <s v="JKC"/>
  </r>
  <r>
    <x v="211"/>
    <d v="2007-09-23T00:00:00"/>
    <x v="12"/>
    <n v="47"/>
    <x v="1"/>
    <x v="9"/>
    <s v="Both"/>
    <x v="0"/>
    <s v="SANKAR ROUTH"/>
    <s v="JKC"/>
  </r>
  <r>
    <x v="212"/>
    <d v="2019-05-15T00:00:00"/>
    <x v="14"/>
    <n v="25"/>
    <x v="0"/>
    <x v="1"/>
    <s v="Both"/>
    <x v="2"/>
    <s v="BIMAL DEBNATH"/>
    <s v="KABKC"/>
  </r>
  <r>
    <x v="213"/>
    <d v="2018-04-04T00:00:00"/>
    <x v="4"/>
    <n v="24"/>
    <x v="0"/>
    <x v="8"/>
    <s v="Both"/>
    <x v="1"/>
    <s v="BIMAL DEBNATH"/>
    <s v="KABKC"/>
  </r>
  <r>
    <x v="214"/>
    <d v="2018-06-23T00:00:00"/>
    <x v="4"/>
    <n v="29"/>
    <x v="0"/>
    <x v="7"/>
    <s v="Both"/>
    <x v="2"/>
    <s v="BIMAL DEBNATH"/>
    <s v="KABKC"/>
  </r>
  <r>
    <x v="215"/>
    <d v="2018-01-05T00:00:00"/>
    <x v="15"/>
    <n v="28"/>
    <x v="1"/>
    <x v="1"/>
    <s v="Kata"/>
    <x v="2"/>
    <s v="BIMAL DEBNATH"/>
    <s v="KABKC"/>
  </r>
  <r>
    <x v="216"/>
    <d v="2018-12-24T00:00:00"/>
    <x v="4"/>
    <n v="30"/>
    <x v="1"/>
    <x v="7"/>
    <s v="Kata"/>
    <x v="0"/>
    <s v="BIMAL DEBNATH"/>
    <s v="KABKC"/>
  </r>
  <r>
    <x v="217"/>
    <d v="2017-11-29T00:00:00"/>
    <x v="15"/>
    <n v="30"/>
    <x v="0"/>
    <x v="7"/>
    <s v="Both"/>
    <x v="0"/>
    <s v="BIMAL DEBNATH"/>
    <s v="KABKC"/>
  </r>
  <r>
    <x v="218"/>
    <d v="2017-12-01T00:00:00"/>
    <x v="15"/>
    <n v="25"/>
    <x v="1"/>
    <x v="10"/>
    <s v="Both"/>
    <x v="1"/>
    <s v="BIMAL DEBNATH"/>
    <s v="KABKC"/>
  </r>
  <r>
    <x v="219"/>
    <d v="2017-11-12T00:00:00"/>
    <x v="15"/>
    <n v="33"/>
    <x v="1"/>
    <x v="7"/>
    <s v="Kata"/>
    <x v="1"/>
    <s v="BIMAL DEBNATH"/>
    <s v="KABKC"/>
  </r>
  <r>
    <x v="220"/>
    <d v="2016-10-08T00:00:00"/>
    <x v="16"/>
    <n v="23"/>
    <x v="0"/>
    <x v="1"/>
    <s v="Both"/>
    <x v="0"/>
    <s v="BIMAL DEBNATH"/>
    <s v="KABKC"/>
  </r>
  <r>
    <x v="221"/>
    <d v="2016-04-06T00:00:00"/>
    <x v="16"/>
    <n v="32"/>
    <x v="0"/>
    <x v="0"/>
    <s v="Both"/>
    <x v="2"/>
    <s v="BIMAL DEBNATH"/>
    <s v="KABKC"/>
  </r>
  <r>
    <x v="222"/>
    <d v="2016-01-15T00:00:00"/>
    <x v="0"/>
    <n v="36"/>
    <x v="0"/>
    <x v="6"/>
    <s v="Both"/>
    <x v="1"/>
    <s v="BIMAL DEBNATH"/>
    <s v="KABKC"/>
  </r>
  <r>
    <x v="223"/>
    <d v="2016-09-26T00:00:00"/>
    <x v="16"/>
    <n v="43"/>
    <x v="0"/>
    <x v="8"/>
    <s v="Both"/>
    <x v="2"/>
    <s v="BIMAL DEBNATH"/>
    <s v="KABKC"/>
  </r>
  <r>
    <x v="224"/>
    <d v="2016-04-15T00:00:00"/>
    <x v="16"/>
    <n v="30"/>
    <x v="1"/>
    <x v="0"/>
    <s v="Both"/>
    <x v="2"/>
    <s v="BIMAL DEBNATH"/>
    <s v="KABKC"/>
  </r>
  <r>
    <x v="225"/>
    <d v="2016-05-26T00:00:00"/>
    <x v="16"/>
    <n v="40"/>
    <x v="1"/>
    <x v="1"/>
    <s v="Both"/>
    <x v="0"/>
    <s v="BIMAL DEBNATH"/>
    <s v="KABKC"/>
  </r>
  <r>
    <x v="226"/>
    <d v="2015-07-24T00:00:00"/>
    <x v="0"/>
    <n v="49"/>
    <x v="0"/>
    <x v="9"/>
    <s v="Both"/>
    <x v="0"/>
    <s v="BIMAL DEBNATH"/>
    <s v="KABKC"/>
  </r>
  <r>
    <x v="227"/>
    <d v="2015-12-19T00:00:00"/>
    <x v="0"/>
    <n v="32"/>
    <x v="1"/>
    <x v="8"/>
    <s v="Both"/>
    <x v="1"/>
    <s v="BIMAL DEBNATH"/>
    <s v="KABKC"/>
  </r>
  <r>
    <x v="228"/>
    <d v="2015-12-07T00:00:00"/>
    <x v="0"/>
    <n v="25"/>
    <x v="1"/>
    <x v="1"/>
    <s v="Both"/>
    <x v="1"/>
    <s v="BIMAL DEBNATH"/>
    <s v="KABKC"/>
  </r>
  <r>
    <x v="229"/>
    <d v="2014-03-14T00:00:00"/>
    <x v="2"/>
    <n v="56"/>
    <x v="0"/>
    <x v="10"/>
    <s v="Both"/>
    <x v="0"/>
    <s v="BIMAL DEBNATH"/>
    <s v="KABKC"/>
  </r>
  <r>
    <x v="230"/>
    <d v="2014-09-27T00:00:00"/>
    <x v="1"/>
    <n v="40"/>
    <x v="1"/>
    <x v="9"/>
    <s v="Both"/>
    <x v="2"/>
    <s v="BIMAL DEBNATH"/>
    <s v="KABKC"/>
  </r>
  <r>
    <x v="231"/>
    <d v="2014-10-19T00:00:00"/>
    <x v="1"/>
    <n v="46"/>
    <x v="1"/>
    <x v="1"/>
    <s v="Both"/>
    <x v="1"/>
    <s v="BIMAL DEBNATH"/>
    <s v="KABKC"/>
  </r>
  <r>
    <x v="232"/>
    <d v="2013-03-18T00:00:00"/>
    <x v="3"/>
    <n v="43"/>
    <x v="1"/>
    <x v="8"/>
    <s v="Both"/>
    <x v="2"/>
    <s v="BIMAL DEBNATH"/>
    <s v="KABKC"/>
  </r>
  <r>
    <x v="233"/>
    <d v="2012-11-05T00:00:00"/>
    <x v="3"/>
    <n v="40"/>
    <x v="0"/>
    <x v="3"/>
    <s v="Both"/>
    <x v="2"/>
    <s v="BIMAL DEBNATH"/>
    <s v="KABKC"/>
  </r>
  <r>
    <x v="234"/>
    <d v="2012-03-31T00:00:00"/>
    <x v="3"/>
    <n v="42"/>
    <x v="0"/>
    <x v="5"/>
    <s v="Both"/>
    <x v="0"/>
    <s v="BIMAL DEBNATH"/>
    <s v="KABKC"/>
  </r>
  <r>
    <x v="235"/>
    <d v="2012-07-14T00:00:00"/>
    <x v="3"/>
    <n v="85"/>
    <x v="0"/>
    <x v="5"/>
    <s v="Both"/>
    <x v="0"/>
    <s v="BIMAL DEBNATH"/>
    <s v="KABKC"/>
  </r>
  <r>
    <x v="236"/>
    <d v="2011-06-26T00:00:00"/>
    <x v="5"/>
    <n v="62"/>
    <x v="0"/>
    <x v="8"/>
    <s v="Both"/>
    <x v="1"/>
    <s v="BIMAL DEBNATH"/>
    <s v="KABKC"/>
  </r>
  <r>
    <x v="237"/>
    <d v="2009-11-24T00:00:00"/>
    <x v="8"/>
    <n v="48"/>
    <x v="1"/>
    <x v="2"/>
    <s v="Both"/>
    <x v="1"/>
    <s v="BIMAL DEBNATH"/>
    <s v="KABKC"/>
  </r>
  <r>
    <x v="238"/>
    <d v="2008-10-18T00:00:00"/>
    <x v="7"/>
    <n v="63"/>
    <x v="1"/>
    <x v="2"/>
    <s v="Both"/>
    <x v="0"/>
    <s v="BIMAL DEBNATH"/>
    <s v="KABKC"/>
  </r>
  <r>
    <x v="239"/>
    <d v="2006-11-06T00:00:00"/>
    <x v="17"/>
    <n v="65"/>
    <x v="0"/>
    <x v="5"/>
    <s v="Both"/>
    <x v="2"/>
    <s v="BIMAL DEBNATH"/>
    <s v="KABKC"/>
  </r>
  <r>
    <x v="240"/>
    <d v="2005-03-17T00:00:00"/>
    <x v="9"/>
    <n v="68"/>
    <x v="0"/>
    <x v="5"/>
    <s v="Both"/>
    <x v="1"/>
    <s v="BIMAL DEBNATH"/>
    <s v="KABKC"/>
  </r>
  <r>
    <x v="241"/>
    <d v="2012-06-15T00:00:00"/>
    <x v="3"/>
    <n v="39"/>
    <x v="1"/>
    <x v="8"/>
    <s v="Both"/>
    <x v="2"/>
    <s v="BIMAL DEBNATH"/>
    <s v="KALYANIA"/>
  </r>
  <r>
    <x v="242"/>
    <d v="2011-06-16T00:00:00"/>
    <x v="5"/>
    <n v="39"/>
    <x v="1"/>
    <x v="8"/>
    <s v="Both"/>
    <x v="2"/>
    <s v="BIMAL DEBNATH"/>
    <s v="KALYANIA"/>
  </r>
  <r>
    <x v="243"/>
    <d v="2011-02-17T00:00:00"/>
    <x v="6"/>
    <n v="43"/>
    <x v="1"/>
    <x v="8"/>
    <s v="Both"/>
    <x v="0"/>
    <s v="BIMAL DEBNATH"/>
    <s v="KALYANIA"/>
  </r>
  <r>
    <x v="244"/>
    <d v="2011-06-17T00:00:00"/>
    <x v="5"/>
    <n v="50"/>
    <x v="1"/>
    <x v="8"/>
    <s v="Both"/>
    <x v="0"/>
    <s v="BIMAL DEBNATH"/>
    <s v="KALYANIA"/>
  </r>
  <r>
    <x v="245"/>
    <d v="2008-11-21T00:00:00"/>
    <x v="7"/>
    <n v="42"/>
    <x v="1"/>
    <x v="10"/>
    <s v="Both"/>
    <x v="1"/>
    <s v="BIMAL DEBNATH"/>
    <s v="KALYANIA"/>
  </r>
  <r>
    <x v="246"/>
    <d v="2008-10-27T00:00:00"/>
    <x v="7"/>
    <n v="53"/>
    <x v="1"/>
    <x v="9"/>
    <s v="Both"/>
    <x v="1"/>
    <s v="BIMAL DEBNATH"/>
    <s v="KALYANIA"/>
  </r>
  <r>
    <x v="247"/>
    <d v="2008-08-16T00:00:00"/>
    <x v="7"/>
    <n v="58"/>
    <x v="1"/>
    <x v="9"/>
    <s v="Both"/>
    <x v="0"/>
    <s v="BIMAL DEBNATH"/>
    <s v="KALYANIA"/>
  </r>
  <r>
    <x v="248"/>
    <d v="2008-05-13T00:00:00"/>
    <x v="7"/>
    <n v="59"/>
    <x v="1"/>
    <x v="9"/>
    <s v="Both"/>
    <x v="2"/>
    <s v="BIMAL DEBNATH"/>
    <s v="KALYANIA"/>
  </r>
  <r>
    <x v="249"/>
    <d v="2006-09-07T00:00:00"/>
    <x v="17"/>
    <n v="63"/>
    <x v="1"/>
    <x v="3"/>
    <s v="Both"/>
    <x v="1"/>
    <s v="BIMAL DEBNATH"/>
    <s v="KALYANIA"/>
  </r>
  <r>
    <x v="250"/>
    <d v="2020-03-22T00:00:00"/>
    <x v="14"/>
    <n v="22"/>
    <x v="0"/>
    <x v="1"/>
    <s v="Both"/>
    <x v="2"/>
    <s v="JAYANTA GUPTA"/>
    <s v="KKA (KALNA)"/>
  </r>
  <r>
    <x v="251"/>
    <d v="2019-05-01T00:00:00"/>
    <x v="14"/>
    <n v="20"/>
    <x v="1"/>
    <x v="1"/>
    <s v="Both"/>
    <x v="2"/>
    <s v="JAYANTA GUPTA"/>
    <s v="KKA (KALNA)"/>
  </r>
  <r>
    <x v="252"/>
    <d v="2019-09-11T00:00:00"/>
    <x v="14"/>
    <n v="24"/>
    <x v="1"/>
    <x v="10"/>
    <s v="Both"/>
    <x v="0"/>
    <s v="JAYANTA GUPTA"/>
    <s v="KKA (KALNA)"/>
  </r>
  <r>
    <x v="253"/>
    <d v="2019-08-19T00:00:00"/>
    <x v="14"/>
    <n v="27"/>
    <x v="1"/>
    <x v="8"/>
    <s v="Both"/>
    <x v="0"/>
    <s v="JAYANTA GUPTA"/>
    <s v="KKA (KALNA)"/>
  </r>
  <r>
    <x v="254"/>
    <d v="2018-01-18T00:00:00"/>
    <x v="15"/>
    <n v="34"/>
    <x v="0"/>
    <x v="1"/>
    <s v="Both"/>
    <x v="1"/>
    <s v="JAYANTA GUPTA"/>
    <s v="KKA (KALNA)"/>
  </r>
  <r>
    <x v="255"/>
    <d v="2018-09-08T00:00:00"/>
    <x v="4"/>
    <n v="18"/>
    <x v="1"/>
    <x v="1"/>
    <s v="Both"/>
    <x v="1"/>
    <s v="JAYANTA GUPTA"/>
    <s v="KKA (KALNA)"/>
  </r>
  <r>
    <x v="256"/>
    <d v="2018-10-21T00:00:00"/>
    <x v="4"/>
    <n v="23"/>
    <x v="1"/>
    <x v="1"/>
    <s v="Both"/>
    <x v="0"/>
    <s v="JAYANTA GUPTA"/>
    <s v="KKA (KALNA)"/>
  </r>
  <r>
    <x v="257"/>
    <d v="2018-01-10T00:00:00"/>
    <x v="15"/>
    <n v="37"/>
    <x v="1"/>
    <x v="1"/>
    <s v="Both"/>
    <x v="2"/>
    <s v="JAYANTA GUPTA"/>
    <s v="KKA (KALNA)"/>
  </r>
  <r>
    <x v="258"/>
    <d v="2017-01-04T00:00:00"/>
    <x v="16"/>
    <n v="20"/>
    <x v="0"/>
    <x v="1"/>
    <s v="Both"/>
    <x v="1"/>
    <s v="JAYANTA GUPTA"/>
    <s v="KKA (KALNA)"/>
  </r>
  <r>
    <x v="259"/>
    <d v="2017-09-10T00:00:00"/>
    <x v="15"/>
    <n v="23"/>
    <x v="0"/>
    <x v="1"/>
    <s v="Both"/>
    <x v="2"/>
    <s v="JAYANTA GUPTA"/>
    <s v="KKA (KALNA)"/>
  </r>
  <r>
    <x v="260"/>
    <d v="2017-09-12T00:00:00"/>
    <x v="15"/>
    <n v="25"/>
    <x v="0"/>
    <x v="8"/>
    <s v="Both"/>
    <x v="2"/>
    <s v="JAYANTA GUPTA"/>
    <s v="KKA (KALNA)"/>
  </r>
  <r>
    <x v="261"/>
    <d v="2017-02-13T00:00:00"/>
    <x v="16"/>
    <n v="25"/>
    <x v="0"/>
    <x v="0"/>
    <s v="Both"/>
    <x v="0"/>
    <s v="JAYANTA GUPTA"/>
    <s v="KKA (KALNA)"/>
  </r>
  <r>
    <x v="262"/>
    <d v="2017-12-08T00:00:00"/>
    <x v="15"/>
    <n v="35"/>
    <x v="0"/>
    <x v="1"/>
    <s v="Both"/>
    <x v="0"/>
    <s v="JAYANTA GUPTA"/>
    <s v="KKA (KALNA)"/>
  </r>
  <r>
    <x v="263"/>
    <d v="2017-10-12T00:00:00"/>
    <x v="15"/>
    <n v="41"/>
    <x v="0"/>
    <x v="8"/>
    <s v="Both"/>
    <x v="1"/>
    <s v="JAYANTA GUPTA"/>
    <s v="KKA (KALNA)"/>
  </r>
  <r>
    <x v="264"/>
    <d v="2017-12-06T00:00:00"/>
    <x v="15"/>
    <n v="35"/>
    <x v="1"/>
    <x v="0"/>
    <s v="Both"/>
    <x v="1"/>
    <s v="JAYANTA GUPTA"/>
    <s v="KKA (KALNA)"/>
  </r>
  <r>
    <x v="265"/>
    <d v="2017-04-27T00:00:00"/>
    <x v="15"/>
    <n v="36"/>
    <x v="1"/>
    <x v="7"/>
    <s v="Kumite"/>
    <x v="0"/>
    <s v="JAYANTA GUPTA"/>
    <s v="KKA (KALNA)"/>
  </r>
  <r>
    <x v="266"/>
    <d v="2017-07-09T00:00:00"/>
    <x v="15"/>
    <n v="42"/>
    <x v="1"/>
    <x v="7"/>
    <s v="Both"/>
    <x v="2"/>
    <s v="JAYANTA GUPTA"/>
    <s v="KKA (KALNA)"/>
  </r>
  <r>
    <x v="267"/>
    <d v="2015-12-28T00:00:00"/>
    <x v="0"/>
    <n v="25"/>
    <x v="0"/>
    <x v="9"/>
    <s v="Both"/>
    <x v="1"/>
    <s v="JAYANTA GUPTA"/>
    <s v="KKA (KALNA)"/>
  </r>
  <r>
    <x v="268"/>
    <d v="2016-12-08T00:00:00"/>
    <x v="16"/>
    <n v="25"/>
    <x v="0"/>
    <x v="7"/>
    <s v="Both"/>
    <x v="2"/>
    <s v="JAYANTA GUPTA"/>
    <s v="KKA (KALNA)"/>
  </r>
  <r>
    <x v="269"/>
    <d v="2016-11-10T00:00:00"/>
    <x v="16"/>
    <n v="20"/>
    <x v="1"/>
    <x v="1"/>
    <s v="Both"/>
    <x v="2"/>
    <s v="JAYANTA GUPTA"/>
    <s v="KKA (KALNA)"/>
  </r>
  <r>
    <x v="270"/>
    <d v="2016-10-11T00:00:00"/>
    <x v="16"/>
    <n v="29"/>
    <x v="1"/>
    <x v="1"/>
    <s v="Both"/>
    <x v="0"/>
    <s v="JAYANTA GUPTA"/>
    <s v="KKA (KALNA)"/>
  </r>
  <r>
    <x v="271"/>
    <d v="2016-02-23T00:00:00"/>
    <x v="0"/>
    <n v="30"/>
    <x v="1"/>
    <x v="0"/>
    <s v="Both"/>
    <x v="0"/>
    <s v="JAYANTA GUPTA"/>
    <s v="KKA (KALNA)"/>
  </r>
  <r>
    <x v="272"/>
    <d v="2016-10-27T00:00:00"/>
    <x v="16"/>
    <n v="32"/>
    <x v="1"/>
    <x v="10"/>
    <s v="Both"/>
    <x v="1"/>
    <s v="JAYANTA GUPTA"/>
    <s v="KKA (KALNA)"/>
  </r>
  <r>
    <x v="273"/>
    <d v="2016-09-02T00:00:00"/>
    <x v="16"/>
    <n v="34"/>
    <x v="1"/>
    <x v="7"/>
    <s v="Both"/>
    <x v="1"/>
    <s v="JAYANTA GUPTA"/>
    <s v="KKA (KALNA)"/>
  </r>
  <r>
    <x v="274"/>
    <d v="2016-01-22T00:00:00"/>
    <x v="0"/>
    <n v="38"/>
    <x v="1"/>
    <x v="10"/>
    <s v="Both"/>
    <x v="0"/>
    <s v="JAYANTA GUPTA"/>
    <s v="KKA (KALNA)"/>
  </r>
  <r>
    <x v="275"/>
    <d v="2016-02-13T00:00:00"/>
    <x v="0"/>
    <n v="40"/>
    <x v="1"/>
    <x v="0"/>
    <s v="Both"/>
    <x v="2"/>
    <s v="JAYANTA GUPTA"/>
    <s v="KKA (KALNA)"/>
  </r>
  <r>
    <x v="276"/>
    <d v="2015-10-08T00:00:00"/>
    <x v="0"/>
    <n v="23"/>
    <x v="0"/>
    <x v="0"/>
    <s v="Both"/>
    <x v="1"/>
    <s v="JAYANTA GUPTA"/>
    <s v="KKA (KALNA)"/>
  </r>
  <r>
    <x v="277"/>
    <d v="2015-09-10T00:00:00"/>
    <x v="0"/>
    <n v="30"/>
    <x v="0"/>
    <x v="0"/>
    <s v="Kumite"/>
    <x v="2"/>
    <s v="JAYANTA GUPTA"/>
    <s v="KKA (KALNA)"/>
  </r>
  <r>
    <x v="278"/>
    <d v="2015-03-26T00:00:00"/>
    <x v="0"/>
    <n v="32"/>
    <x v="0"/>
    <x v="7"/>
    <s v="Both"/>
    <x v="2"/>
    <s v="JAYANTA GUPTA"/>
    <s v="KKA (KALNA)"/>
  </r>
  <r>
    <x v="279"/>
    <d v="2015-10-28T00:00:00"/>
    <x v="0"/>
    <n v="24"/>
    <x v="1"/>
    <x v="8"/>
    <s v="Both"/>
    <x v="0"/>
    <s v="JAYANTA GUPTA"/>
    <s v="KKA (KALNA)"/>
  </r>
  <r>
    <x v="280"/>
    <d v="2015-02-04T00:00:00"/>
    <x v="1"/>
    <n v="41"/>
    <x v="1"/>
    <x v="9"/>
    <s v="Both"/>
    <x v="0"/>
    <s v="JAYANTA GUPTA"/>
    <s v="KKA (KALNA)"/>
  </r>
  <r>
    <x v="281"/>
    <d v="2015-12-16T00:00:00"/>
    <x v="0"/>
    <n v="35"/>
    <x v="1"/>
    <x v="10"/>
    <s v="Kata"/>
    <x v="1"/>
    <s v="JAYANTA GUPTA"/>
    <s v="KKA (KALNA)"/>
  </r>
  <r>
    <x v="282"/>
    <d v="2014-07-02T00:00:00"/>
    <x v="1"/>
    <n v="30"/>
    <x v="0"/>
    <x v="8"/>
    <s v="Both"/>
    <x v="1"/>
    <s v="JAYANTA GUPTA"/>
    <s v="KKA (KALNA)"/>
  </r>
  <r>
    <x v="283"/>
    <d v="2014-01-29T00:00:00"/>
    <x v="2"/>
    <n v="40"/>
    <x v="0"/>
    <x v="2"/>
    <s v="Both"/>
    <x v="0"/>
    <s v="JAYANTA GUPTA"/>
    <s v="KKA (KALNA)"/>
  </r>
  <r>
    <x v="284"/>
    <d v="2014-01-23T00:00:00"/>
    <x v="2"/>
    <n v="40"/>
    <x v="0"/>
    <x v="2"/>
    <s v="Both"/>
    <x v="2"/>
    <s v="JAYANTA GUPTA"/>
    <s v="KKA (KALNA)"/>
  </r>
  <r>
    <x v="285"/>
    <d v="2014-12-14T00:00:00"/>
    <x v="1"/>
    <n v="42"/>
    <x v="0"/>
    <x v="0"/>
    <s v="Both"/>
    <x v="1"/>
    <s v="JAYANTA GUPTA"/>
    <s v="KKA (KALNA)"/>
  </r>
  <r>
    <x v="286"/>
    <d v="2014-10-23T00:00:00"/>
    <x v="1"/>
    <n v="45"/>
    <x v="0"/>
    <x v="6"/>
    <s v="Both"/>
    <x v="2"/>
    <s v="JAYANTA GUPTA"/>
    <s v="KKA (KALNA)"/>
  </r>
  <r>
    <x v="287"/>
    <d v="2014-01-01T00:00:00"/>
    <x v="2"/>
    <n v="24"/>
    <x v="1"/>
    <x v="6"/>
    <s v="Both"/>
    <x v="2"/>
    <s v="JAYANTA GUPTA"/>
    <s v="KKA (KALNA)"/>
  </r>
  <r>
    <x v="288"/>
    <d v="2014-03-24T00:00:00"/>
    <x v="1"/>
    <n v="30"/>
    <x v="1"/>
    <x v="1"/>
    <s v="Both"/>
    <x v="0"/>
    <s v="JAYANTA GUPTA"/>
    <s v="KKA (KALNA)"/>
  </r>
  <r>
    <x v="289"/>
    <d v="2014-07-18T00:00:00"/>
    <x v="1"/>
    <n v="36"/>
    <x v="1"/>
    <x v="9"/>
    <s v="Both"/>
    <x v="0"/>
    <s v="JAYANTA GUPTA"/>
    <s v="KKA (KALNA)"/>
  </r>
  <r>
    <x v="290"/>
    <d v="2013-09-27T00:00:00"/>
    <x v="2"/>
    <n v="41"/>
    <x v="0"/>
    <x v="4"/>
    <s v="Both"/>
    <x v="1"/>
    <s v="JAYANTA GUPTA"/>
    <s v="KKA (KALNA)"/>
  </r>
  <r>
    <x v="291"/>
    <d v="2013-06-28T00:00:00"/>
    <x v="2"/>
    <n v="35"/>
    <x v="1"/>
    <x v="3"/>
    <s v="Both"/>
    <x v="1"/>
    <s v="JAYANTA GUPTA"/>
    <s v="KKA (KALNA)"/>
  </r>
  <r>
    <x v="292"/>
    <d v="2013-10-26T00:00:00"/>
    <x v="2"/>
    <n v="40"/>
    <x v="1"/>
    <x v="8"/>
    <s v="Both"/>
    <x v="0"/>
    <s v="JAYANTA GUPTA"/>
    <s v="KKA (KALNA)"/>
  </r>
  <r>
    <x v="293"/>
    <d v="2013-12-04T00:00:00"/>
    <x v="2"/>
    <n v="40"/>
    <x v="1"/>
    <x v="0"/>
    <s v="Both"/>
    <x v="2"/>
    <s v="JAYANTA GUPTA"/>
    <s v="KKA (KALNA)"/>
  </r>
  <r>
    <x v="294"/>
    <d v="2012-05-13T00:00:00"/>
    <x v="3"/>
    <n v="44"/>
    <x v="0"/>
    <x v="0"/>
    <s v="Both"/>
    <x v="1"/>
    <s v="JAYANTA GUPTA"/>
    <s v="KKA (KALNA)"/>
  </r>
  <r>
    <x v="295"/>
    <d v="2012-09-10T00:00:00"/>
    <x v="3"/>
    <n v="44"/>
    <x v="1"/>
    <x v="6"/>
    <s v="Both"/>
    <x v="2"/>
    <s v="JAYANTA GUPTA"/>
    <s v="KKA (KALNA)"/>
  </r>
  <r>
    <x v="296"/>
    <d v="2011-08-17T00:00:00"/>
    <x v="5"/>
    <n v="44"/>
    <x v="0"/>
    <x v="2"/>
    <s v="Both"/>
    <x v="2"/>
    <s v="JAYANTA GUPTA"/>
    <s v="KKA (KALNA)"/>
  </r>
  <r>
    <x v="297"/>
    <d v="2010-12-22T00:00:00"/>
    <x v="6"/>
    <n v="40"/>
    <x v="0"/>
    <x v="2"/>
    <s v="Both"/>
    <x v="0"/>
    <s v="JAYANTA GUPTA"/>
    <s v="KKA (KALNA)"/>
  </r>
  <r>
    <x v="298"/>
    <d v="2010-06-28T00:00:00"/>
    <x v="6"/>
    <n v="65"/>
    <x v="1"/>
    <x v="9"/>
    <s v="Both"/>
    <x v="0"/>
    <s v="JAYANTA GUPTA"/>
    <s v="KKA (KALNA)"/>
  </r>
  <r>
    <x v="299"/>
    <d v="2009-08-22T00:00:00"/>
    <x v="8"/>
    <n v="50"/>
    <x v="0"/>
    <x v="10"/>
    <s v="Both"/>
    <x v="1"/>
    <s v="JAYANTA GUPTA"/>
    <s v="KKA (KALNA)"/>
  </r>
  <r>
    <x v="300"/>
    <d v="2008-09-04T00:00:00"/>
    <x v="7"/>
    <n v="49"/>
    <x v="0"/>
    <x v="9"/>
    <s v="Both"/>
    <x v="1"/>
    <s v="JAYANTA GUPTA"/>
    <s v="KKA (KALNA)"/>
  </r>
  <r>
    <x v="301"/>
    <d v="2008-04-04T00:00:00"/>
    <x v="7"/>
    <n v="44"/>
    <x v="1"/>
    <x v="10"/>
    <s v="Both "/>
    <x v="0"/>
    <s v="JAYANTA GUPTA"/>
    <s v="KKA (KALNA)"/>
  </r>
  <r>
    <x v="302"/>
    <d v="2008-09-13T00:00:00"/>
    <x v="7"/>
    <n v="52"/>
    <x v="1"/>
    <x v="5"/>
    <s v="Both"/>
    <x v="2"/>
    <s v="JAYANTA GUPTA"/>
    <s v="KKA (KALNA)"/>
  </r>
  <r>
    <x v="303"/>
    <d v="2008-11-07T00:00:00"/>
    <x v="7"/>
    <n v="55"/>
    <x v="1"/>
    <x v="3"/>
    <s v="Both"/>
    <x v="1"/>
    <s v="JAYANTA GUPTA"/>
    <s v="KKA (KALNA)"/>
  </r>
  <r>
    <x v="304"/>
    <d v="2009-01-11T00:00:00"/>
    <x v="7"/>
    <n v="66"/>
    <x v="1"/>
    <x v="3"/>
    <s v="Both"/>
    <x v="2"/>
    <s v="JAYANTA GUPTA"/>
    <s v="KKA (KALNA)"/>
  </r>
  <r>
    <x v="305"/>
    <d v="2008-10-11T00:00:00"/>
    <x v="7"/>
    <n v="59"/>
    <x v="1"/>
    <x v="5"/>
    <s v="Both"/>
    <x v="2"/>
    <s v="JAYANTA GUPTA"/>
    <s v="KKA (KALNA)"/>
  </r>
  <r>
    <x v="306"/>
    <d v="2004-04-03T00:00:00"/>
    <x v="9"/>
    <n v="45"/>
    <x v="0"/>
    <x v="5"/>
    <s v="Both"/>
    <x v="0"/>
    <s v="JAYANTA GUPTA"/>
    <s v="KKA (KALNA)"/>
  </r>
  <r>
    <x v="307"/>
    <d v="2007-01-27T00:00:00"/>
    <x v="17"/>
    <n v="59"/>
    <x v="0"/>
    <x v="6"/>
    <s v="Both"/>
    <x v="0"/>
    <s v="JAYANTA GUPTA"/>
    <s v="KKA (KALNA)"/>
  </r>
  <r>
    <x v="308"/>
    <d v="2007-12-17T00:00:00"/>
    <x v="12"/>
    <n v="97"/>
    <x v="0"/>
    <x v="5"/>
    <s v="Both"/>
    <x v="1"/>
    <s v="JAYANTA GUPTA"/>
    <s v="KKA (KALNA)"/>
  </r>
  <r>
    <x v="309"/>
    <d v="2005-12-20T00:00:00"/>
    <x v="21"/>
    <n v="48"/>
    <x v="1"/>
    <x v="9"/>
    <s v="Both"/>
    <x v="1"/>
    <s v="JAYANTA GUPTA"/>
    <s v="KKA (KALNA)"/>
  </r>
  <r>
    <x v="310"/>
    <d v="2003-04-16T00:00:00"/>
    <x v="18"/>
    <n v="40"/>
    <x v="1"/>
    <x v="5"/>
    <s v="Both"/>
    <x v="0"/>
    <s v="JAYANTA GUPTA"/>
    <s v="KKA (KALNA)"/>
  </r>
  <r>
    <x v="311"/>
    <d v="2007-12-17T00:00:00"/>
    <x v="12"/>
    <n v="50"/>
    <x v="1"/>
    <x v="5"/>
    <s v="Both"/>
    <x v="2"/>
    <s v="JAYANTA GUPTA"/>
    <s v="KKA (KALNA)"/>
  </r>
  <r>
    <x v="312"/>
    <d v="2005-12-02T00:00:00"/>
    <x v="21"/>
    <n v="64"/>
    <x v="1"/>
    <x v="5"/>
    <s v="Both"/>
    <x v="1"/>
    <s v="JAYANTA GUPTA"/>
    <s v="KKA (KALNA)"/>
  </r>
  <r>
    <x v="313"/>
    <d v="2020-06-20T00:00:00"/>
    <x v="13"/>
    <n v="19"/>
    <x v="1"/>
    <x v="7"/>
    <s v="Both"/>
    <x v="2"/>
    <s v="AYAN BANERJEE"/>
    <s v="KMAA"/>
  </r>
  <r>
    <x v="314"/>
    <d v="2018-04-05T00:00:00"/>
    <x v="4"/>
    <n v="23"/>
    <x v="1"/>
    <x v="8"/>
    <s v="Both"/>
    <x v="2"/>
    <s v="AYAN BANERJEE"/>
    <s v="KMAA"/>
  </r>
  <r>
    <x v="315"/>
    <d v="2017-07-16T00:00:00"/>
    <x v="15"/>
    <n v="45"/>
    <x v="0"/>
    <x v="8"/>
    <s v="Both"/>
    <x v="0"/>
    <s v="AYAN BANERJEE"/>
    <s v="KMAA"/>
  </r>
  <r>
    <x v="316"/>
    <d v="2016-02-11T00:00:00"/>
    <x v="0"/>
    <n v="39"/>
    <x v="0"/>
    <x v="9"/>
    <s v="Both"/>
    <x v="0"/>
    <s v="AYAN BANERJEE"/>
    <s v="KMAA"/>
  </r>
  <r>
    <x v="317"/>
    <d v="2016-06-07T00:00:00"/>
    <x v="16"/>
    <n v="47"/>
    <x v="0"/>
    <x v="8"/>
    <s v="Both"/>
    <x v="1"/>
    <s v="AYAN BANERJEE"/>
    <s v="KMAA"/>
  </r>
  <r>
    <x v="318"/>
    <d v="2016-12-22T00:00:00"/>
    <x v="16"/>
    <n v="21"/>
    <x v="1"/>
    <x v="8"/>
    <s v="Both"/>
    <x v="1"/>
    <s v="AYAN BANERJEE"/>
    <s v="KMAA"/>
  </r>
  <r>
    <x v="319"/>
    <d v="2015-11-27T00:00:00"/>
    <x v="0"/>
    <n v="24"/>
    <x v="0"/>
    <x v="1"/>
    <s v="Both"/>
    <x v="0"/>
    <s v="AYAN BANERJEE"/>
    <s v="KMAA"/>
  </r>
  <r>
    <x v="320"/>
    <d v="2015-08-11T00:00:00"/>
    <x v="0"/>
    <n v="35"/>
    <x v="1"/>
    <x v="1"/>
    <s v="Both"/>
    <x v="2"/>
    <s v="AYAN BANERJEE"/>
    <s v="KMAA"/>
  </r>
  <r>
    <x v="321"/>
    <d v="2013-06-18T00:00:00"/>
    <x v="2"/>
    <n v="32"/>
    <x v="0"/>
    <x v="10"/>
    <s v="Both"/>
    <x v="1"/>
    <s v="AYAN BANERJEE"/>
    <s v="KMAA"/>
  </r>
  <r>
    <x v="322"/>
    <d v="2012-05-08T00:00:00"/>
    <x v="3"/>
    <n v="57"/>
    <x v="0"/>
    <x v="3"/>
    <s v="Both"/>
    <x v="2"/>
    <s v="AYAN BANERJEE"/>
    <s v="KMAA"/>
  </r>
  <r>
    <x v="323"/>
    <d v="2011-03-11T00:00:00"/>
    <x v="6"/>
    <n v="52"/>
    <x v="0"/>
    <x v="4"/>
    <s v="Both"/>
    <x v="2"/>
    <s v="AYAN BANERJEE"/>
    <s v="KMAA"/>
  </r>
  <r>
    <x v="324"/>
    <d v="2010-04-11T00:00:00"/>
    <x v="6"/>
    <n v="49"/>
    <x v="1"/>
    <x v="3"/>
    <s v="Both"/>
    <x v="0"/>
    <s v="AYAN BANERJEE"/>
    <s v="KMAA"/>
  </r>
  <r>
    <x v="325"/>
    <d v="2011-02-01T00:00:00"/>
    <x v="6"/>
    <n v="51"/>
    <x v="1"/>
    <x v="10"/>
    <s v="Both"/>
    <x v="0"/>
    <s v="AYAN BANERJEE"/>
    <s v="KMAA"/>
  </r>
  <r>
    <x v="326"/>
    <d v="2011-03-19T00:00:00"/>
    <x v="6"/>
    <n v="52"/>
    <x v="1"/>
    <x v="4"/>
    <s v="Both"/>
    <x v="1"/>
    <s v="AYAN BANERJEE"/>
    <s v="KMAA"/>
  </r>
  <r>
    <x v="327"/>
    <d v="2010-07-15T00:00:00"/>
    <x v="6"/>
    <n v="68"/>
    <x v="1"/>
    <x v="10"/>
    <s v="Both"/>
    <x v="1"/>
    <s v="AYAN BANERJEE"/>
    <s v="KMAA"/>
  </r>
  <r>
    <x v="328"/>
    <d v="2011-05-10T00:00:00"/>
    <x v="5"/>
    <n v="44"/>
    <x v="1"/>
    <x v="6"/>
    <s v="Kumite"/>
    <x v="0"/>
    <s v="AYAN BANERJEE"/>
    <s v="KMAA"/>
  </r>
  <r>
    <x v="329"/>
    <d v="2017-07-13T00:00:00"/>
    <x v="15"/>
    <n v="24"/>
    <x v="1"/>
    <x v="1"/>
    <s v="Both"/>
    <x v="2"/>
    <s v="BIMAL DEBNATH"/>
    <s v="KNNBS"/>
  </r>
  <r>
    <x v="330"/>
    <d v="2016-12-06T00:00:00"/>
    <x v="16"/>
    <n v="42"/>
    <x v="0"/>
    <x v="10"/>
    <s v="Both"/>
    <x v="1"/>
    <s v="BIMAL DEBNATH"/>
    <s v="KNNBS"/>
  </r>
  <r>
    <x v="331"/>
    <d v="2014-08-31T00:00:00"/>
    <x v="1"/>
    <n v="29"/>
    <x v="0"/>
    <x v="0"/>
    <s v="Both"/>
    <x v="2"/>
    <s v="BIMAL DEBNATH"/>
    <s v="KNNBS"/>
  </r>
  <r>
    <x v="332"/>
    <d v="2010-11-13T00:00:00"/>
    <x v="6"/>
    <n v="64"/>
    <x v="0"/>
    <x v="2"/>
    <s v="Both"/>
    <x v="2"/>
    <s v="BIMAL DEBNATH"/>
    <s v="KNNBS"/>
  </r>
  <r>
    <x v="333"/>
    <d v="2010-02-14T00:00:00"/>
    <x v="8"/>
    <n v="54"/>
    <x v="1"/>
    <x v="5"/>
    <s v="Both"/>
    <x v="0"/>
    <s v="BIMAL DEBNATH"/>
    <s v="KNNBS"/>
  </r>
  <r>
    <x v="334"/>
    <d v="2016-05-26T00:00:00"/>
    <x v="16"/>
    <n v="40"/>
    <x v="1"/>
    <x v="7"/>
    <s v="Both"/>
    <x v="0"/>
    <s v="DIPAK PRASAD"/>
    <s v="KSKC"/>
  </r>
  <r>
    <x v="335"/>
    <d v="2014-10-17T00:00:00"/>
    <x v="1"/>
    <n v="30"/>
    <x v="0"/>
    <x v="7"/>
    <s v="Both"/>
    <x v="1"/>
    <s v="DIPAK PRASAD"/>
    <s v="KSKC"/>
  </r>
  <r>
    <x v="336"/>
    <d v="2009-09-17T00:00:00"/>
    <x v="8"/>
    <n v="38"/>
    <x v="1"/>
    <x v="2"/>
    <s v="Both"/>
    <x v="1"/>
    <s v="DIPAK PRASAD"/>
    <s v="KSKC"/>
  </r>
  <r>
    <x v="337"/>
    <d v="2013-03-03T00:00:00"/>
    <x v="3"/>
    <n v="40"/>
    <x v="0"/>
    <x v="6"/>
    <s v="Both"/>
    <x v="0"/>
    <s v="ABHIRAM KARMADOK"/>
    <s v="KYKA"/>
  </r>
  <r>
    <x v="338"/>
    <d v="2010-12-08T00:00:00"/>
    <x v="6"/>
    <n v="58"/>
    <x v="0"/>
    <x v="8"/>
    <s v="Both"/>
    <x v="2"/>
    <s v="ABHIRAM KARMADOK"/>
    <s v="KYKA"/>
  </r>
  <r>
    <x v="339"/>
    <d v="2006-11-17T00:00:00"/>
    <x v="17"/>
    <n v="50"/>
    <x v="0"/>
    <x v="2"/>
    <s v="Both"/>
    <x v="1"/>
    <s v="ABHIRAM KARMADOK"/>
    <s v="KYKA"/>
  </r>
  <r>
    <x v="340"/>
    <d v="2003-10-11T00:00:00"/>
    <x v="18"/>
    <n v="52"/>
    <x v="0"/>
    <x v="5"/>
    <s v="Both"/>
    <x v="2"/>
    <s v="ABHIRAM KARMADOK"/>
    <s v="KYKA"/>
  </r>
  <r>
    <x v="341"/>
    <d v="2007-12-05T00:00:00"/>
    <x v="12"/>
    <n v="60"/>
    <x v="0"/>
    <x v="5"/>
    <s v="Both"/>
    <x v="2"/>
    <s v="ABHIRAM KARMADOK"/>
    <s v="KYKA"/>
  </r>
  <r>
    <x v="342"/>
    <d v="2005-03-06T00:00:00"/>
    <x v="9"/>
    <n v="58"/>
    <x v="0"/>
    <x v="5"/>
    <s v="Both"/>
    <x v="0"/>
    <s v="ABHIRAM KARMADOK"/>
    <s v="KYKA"/>
  </r>
  <r>
    <x v="343"/>
    <d v="2004-12-25T00:00:00"/>
    <x v="9"/>
    <n v="65"/>
    <x v="0"/>
    <x v="2"/>
    <s v="Both"/>
    <x v="0"/>
    <s v="ABHIRAM KARMADOK"/>
    <s v="KYKA"/>
  </r>
  <r>
    <x v="344"/>
    <d v="1999-02-06T00:00:00"/>
    <x v="22"/>
    <n v="73"/>
    <x v="0"/>
    <x v="5"/>
    <s v="Both"/>
    <x v="1"/>
    <s v="ABHIRAM KARMADOK"/>
    <s v="KYKA"/>
  </r>
  <r>
    <x v="345"/>
    <d v="1989-09-23T00:00:00"/>
    <x v="23"/>
    <n v="74"/>
    <x v="0"/>
    <x v="2"/>
    <s v="Both"/>
    <x v="1"/>
    <s v="ABHIRAM KARMADOK"/>
    <s v="KYKA"/>
  </r>
  <r>
    <x v="346"/>
    <d v="2006-12-13T00:00:00"/>
    <x v="17"/>
    <n v="50"/>
    <x v="1"/>
    <x v="4"/>
    <s v="Both"/>
    <x v="0"/>
    <s v="ABHIRAM KARMADOK"/>
    <s v="KYKA"/>
  </r>
  <r>
    <x v="347"/>
    <d v="2006-03-11T00:00:00"/>
    <x v="21"/>
    <n v="50"/>
    <x v="1"/>
    <x v="6"/>
    <s v="Both"/>
    <x v="2"/>
    <s v="ABHIRAM KARMADOK"/>
    <s v="KYKA"/>
  </r>
  <r>
    <x v="348"/>
    <d v="2018-08-28T00:00:00"/>
    <x v="4"/>
    <n v="25"/>
    <x v="1"/>
    <x v="8"/>
    <s v="Both"/>
    <x v="1"/>
    <s v="RAJIB LOCHAN GHOSH"/>
    <s v="MKC"/>
  </r>
  <r>
    <x v="349"/>
    <d v="2017-07-30T00:00:00"/>
    <x v="15"/>
    <n v="37"/>
    <x v="0"/>
    <x v="7"/>
    <s v="Kata"/>
    <x v="2"/>
    <s v="RAJIB LOCHAN GHOSH"/>
    <s v="MKC"/>
  </r>
  <r>
    <x v="350"/>
    <d v="2016-08-31T00:00:00"/>
    <x v="16"/>
    <n v="37"/>
    <x v="0"/>
    <x v="8"/>
    <s v="Both"/>
    <x v="2"/>
    <s v="RAJIB LOCHAN GHOSH"/>
    <s v="MKC"/>
  </r>
  <r>
    <x v="351"/>
    <d v="2016-02-22T00:00:00"/>
    <x v="0"/>
    <n v="41"/>
    <x v="1"/>
    <x v="0"/>
    <s v="Both"/>
    <x v="0"/>
    <s v="RAJIB LOCHAN GHOSH"/>
    <s v="MKC"/>
  </r>
  <r>
    <x v="352"/>
    <d v="2015-07-15T00:00:00"/>
    <x v="0"/>
    <n v="34"/>
    <x v="0"/>
    <x v="6"/>
    <s v="Both"/>
    <x v="0"/>
    <s v="RAJIB LOCHAN GHOSH"/>
    <s v="MKC"/>
  </r>
  <r>
    <x v="353"/>
    <d v="2014-10-23T00:00:00"/>
    <x v="1"/>
    <n v="40"/>
    <x v="0"/>
    <x v="8"/>
    <s v="Both"/>
    <x v="1"/>
    <s v="RAJIB LOCHAN GHOSH"/>
    <s v="MKC"/>
  </r>
  <r>
    <x v="354"/>
    <d v="2014-07-16T00:00:00"/>
    <x v="1"/>
    <n v="52"/>
    <x v="0"/>
    <x v="8"/>
    <s v="Both"/>
    <x v="1"/>
    <s v="RAJIB LOCHAN GHOSH"/>
    <s v="MKC"/>
  </r>
  <r>
    <x v="355"/>
    <d v="2014-01-18T00:00:00"/>
    <x v="2"/>
    <n v="35"/>
    <x v="1"/>
    <x v="10"/>
    <s v="Both"/>
    <x v="0"/>
    <s v="RAJIB LOCHAN GHOSH"/>
    <s v="MKC"/>
  </r>
  <r>
    <x v="356"/>
    <d v="2012-02-20T00:00:00"/>
    <x v="5"/>
    <n v="32"/>
    <x v="0"/>
    <x v="0"/>
    <s v="Both"/>
    <x v="2"/>
    <s v="RAJIB LOCHAN GHOSH"/>
    <s v="MKC"/>
  </r>
  <r>
    <x v="357"/>
    <d v="2012-07-29T00:00:00"/>
    <x v="3"/>
    <n v="40"/>
    <x v="0"/>
    <x v="0"/>
    <s v="Both"/>
    <x v="1"/>
    <s v="RAJIB LOCHAN GHOSH"/>
    <s v="MKC"/>
  </r>
  <r>
    <x v="358"/>
    <d v="2012-10-23T00:00:00"/>
    <x v="3"/>
    <n v="41"/>
    <x v="0"/>
    <x v="8"/>
    <s v="Both"/>
    <x v="2"/>
    <s v="RAJIB LOCHAN GHOSH"/>
    <s v="MKC"/>
  </r>
  <r>
    <x v="359"/>
    <d v="2012-01-10T00:00:00"/>
    <x v="5"/>
    <n v="42"/>
    <x v="0"/>
    <x v="0"/>
    <s v="Both"/>
    <x v="2"/>
    <s v="RAJIB LOCHAN GHOSH"/>
    <s v="MKC"/>
  </r>
  <r>
    <x v="360"/>
    <d v="2012-06-30T00:00:00"/>
    <x v="3"/>
    <n v="50"/>
    <x v="0"/>
    <x v="10"/>
    <s v="Both"/>
    <x v="0"/>
    <s v="RAJIB LOCHAN GHOSH"/>
    <s v="MKC"/>
  </r>
  <r>
    <x v="361"/>
    <d v="2012-01-19T00:00:00"/>
    <x v="5"/>
    <n v="62"/>
    <x v="0"/>
    <x v="10"/>
    <s v="Both"/>
    <x v="0"/>
    <s v="RAJIB LOCHAN GHOSH"/>
    <s v="MKC"/>
  </r>
  <r>
    <x v="362"/>
    <d v="2019-09-02T00:00:00"/>
    <x v="14"/>
    <n v="17"/>
    <x v="1"/>
    <x v="1"/>
    <s v="Both"/>
    <x v="1"/>
    <s v="DIPAK HARI"/>
    <s v="MSDSKA"/>
  </r>
  <r>
    <x v="363"/>
    <d v="2018-08-20T00:00:00"/>
    <x v="4"/>
    <n v="22"/>
    <x v="1"/>
    <x v="1"/>
    <s v="Both"/>
    <x v="1"/>
    <s v="DIPAK HARI"/>
    <s v="MSDSKA"/>
  </r>
  <r>
    <x v="364"/>
    <d v="2017-12-15T00:00:00"/>
    <x v="15"/>
    <n v="21"/>
    <x v="0"/>
    <x v="7"/>
    <s v="Both"/>
    <x v="0"/>
    <s v="DIPAK HARI"/>
    <s v="MSDSKA"/>
  </r>
  <r>
    <x v="365"/>
    <d v="2017-12-23T00:00:00"/>
    <x v="15"/>
    <n v="19"/>
    <x v="1"/>
    <x v="7"/>
    <s v="Both"/>
    <x v="2"/>
    <s v="DIPAK HARI"/>
    <s v="MSDSKA"/>
  </r>
  <r>
    <x v="366"/>
    <d v="2017-07-18T00:00:00"/>
    <x v="15"/>
    <n v="22"/>
    <x v="1"/>
    <x v="1"/>
    <s v="Both"/>
    <x v="1"/>
    <s v="DIPAK HARI"/>
    <s v="MSDSKA"/>
  </r>
  <r>
    <x v="367"/>
    <d v="2016-05-24T00:00:00"/>
    <x v="16"/>
    <n v="48"/>
    <x v="0"/>
    <x v="1"/>
    <s v="Both"/>
    <x v="2"/>
    <s v="DIPAK HARI"/>
    <s v="MSDSKA"/>
  </r>
  <r>
    <x v="368"/>
    <d v="2015-09-10T00:00:00"/>
    <x v="0"/>
    <n v="40"/>
    <x v="0"/>
    <x v="10"/>
    <s v="Both"/>
    <x v="2"/>
    <s v="DIPAK HARI"/>
    <s v="MSDSKA"/>
  </r>
  <r>
    <x v="369"/>
    <d v="2015-09-02T00:00:00"/>
    <x v="0"/>
    <n v="42"/>
    <x v="1"/>
    <x v="7"/>
    <s v="Both"/>
    <x v="0"/>
    <s v="DIPAK HARI"/>
    <s v="MSDSKA"/>
  </r>
  <r>
    <x v="370"/>
    <d v="2015-01-22T00:00:00"/>
    <x v="1"/>
    <n v="45"/>
    <x v="1"/>
    <x v="3"/>
    <s v="Both"/>
    <x v="0"/>
    <s v="DIPAK HARI"/>
    <s v="MSDSKA"/>
  </r>
  <r>
    <x v="371"/>
    <d v="2014-05-14T00:00:00"/>
    <x v="1"/>
    <n v="28"/>
    <x v="0"/>
    <x v="1"/>
    <s v="Both"/>
    <x v="1"/>
    <s v="DIPAK HARI"/>
    <s v="MSDSKA"/>
  </r>
  <r>
    <x v="372"/>
    <d v="2013-07-13T00:00:00"/>
    <x v="2"/>
    <n v="35"/>
    <x v="1"/>
    <x v="1"/>
    <s v="Both"/>
    <x v="1"/>
    <s v="DIPAK HARI"/>
    <s v="MSDSKA"/>
  </r>
  <r>
    <x v="373"/>
    <d v="2013-08-29T00:00:00"/>
    <x v="2"/>
    <n v="56"/>
    <x v="1"/>
    <x v="1"/>
    <s v="Both"/>
    <x v="0"/>
    <s v="DIPAK HARI"/>
    <s v="MSDSKA"/>
  </r>
  <r>
    <x v="374"/>
    <d v="2012-06-21T00:00:00"/>
    <x v="3"/>
    <n v="32"/>
    <x v="0"/>
    <x v="1"/>
    <s v="Both"/>
    <x v="2"/>
    <s v="DIPAK HARI"/>
    <s v="MSDSKA"/>
  </r>
  <r>
    <x v="375"/>
    <d v="2011-07-08T00:00:00"/>
    <x v="5"/>
    <n v="48"/>
    <x v="0"/>
    <x v="9"/>
    <s v="Both"/>
    <x v="1"/>
    <s v="DIPAK HARI"/>
    <s v="MSDSKA"/>
  </r>
  <r>
    <x v="376"/>
    <d v="2003-01-31T00:00:00"/>
    <x v="24"/>
    <n v="42"/>
    <x v="1"/>
    <x v="2"/>
    <s v="Both"/>
    <x v="2"/>
    <s v="DIPAK HARI"/>
    <s v="MSDSKA"/>
  </r>
  <r>
    <x v="377"/>
    <d v="2018-01-04T00:00:00"/>
    <x v="15"/>
    <n v="24"/>
    <x v="0"/>
    <x v="0"/>
    <s v="Both"/>
    <x v="2"/>
    <s v="BIMAL DEBNATH"/>
    <s v="MSKC"/>
  </r>
  <r>
    <x v="378"/>
    <d v="2018-04-09T00:00:00"/>
    <x v="4"/>
    <n v="24"/>
    <x v="0"/>
    <x v="0"/>
    <s v="Both"/>
    <x v="0"/>
    <s v="BIMAL DEBNATH"/>
    <s v="MSKC"/>
  </r>
  <r>
    <x v="379"/>
    <d v="2017-12-31T00:00:00"/>
    <x v="15"/>
    <n v="21"/>
    <x v="1"/>
    <x v="1"/>
    <s v="Both"/>
    <x v="0"/>
    <s v="BIMAL DEBNATH"/>
    <s v="MSKC"/>
  </r>
  <r>
    <x v="380"/>
    <d v="2017-10-21T00:00:00"/>
    <x v="15"/>
    <n v="22"/>
    <x v="1"/>
    <x v="9"/>
    <s v="Both"/>
    <x v="1"/>
    <s v="BIMAL DEBNATH"/>
    <s v="MSKC"/>
  </r>
  <r>
    <x v="381"/>
    <d v="2017-08-02T00:00:00"/>
    <x v="15"/>
    <n v="25"/>
    <x v="1"/>
    <x v="9"/>
    <s v="Both"/>
    <x v="1"/>
    <s v="BIMAL DEBNATH"/>
    <s v="MSKC"/>
  </r>
  <r>
    <x v="382"/>
    <d v="2017-01-11T00:00:00"/>
    <x v="16"/>
    <n v="28"/>
    <x v="1"/>
    <x v="9"/>
    <s v="Both"/>
    <x v="0"/>
    <s v="BIMAL DEBNATH"/>
    <s v="MSKC"/>
  </r>
  <r>
    <x v="383"/>
    <d v="2016-12-30T00:00:00"/>
    <x v="16"/>
    <n v="30"/>
    <x v="1"/>
    <x v="9"/>
    <s v="Both"/>
    <x v="2"/>
    <s v="BIMAL DEBNATH"/>
    <s v="MSKC"/>
  </r>
  <r>
    <x v="384"/>
    <d v="2016-12-11T00:00:00"/>
    <x v="16"/>
    <n v="22"/>
    <x v="0"/>
    <x v="1"/>
    <s v="Both"/>
    <x v="1"/>
    <s v="BIMAL DEBNATH"/>
    <s v="MSKC"/>
  </r>
  <r>
    <x v="385"/>
    <d v="2016-04-16T00:00:00"/>
    <x v="16"/>
    <n v="22"/>
    <x v="0"/>
    <x v="10"/>
    <s v="Both"/>
    <x v="2"/>
    <s v="BIMAL DEBNATH"/>
    <s v="MSKC"/>
  </r>
  <r>
    <x v="386"/>
    <d v="2016-11-14T00:00:00"/>
    <x v="16"/>
    <n v="23"/>
    <x v="0"/>
    <x v="0"/>
    <s v="Both"/>
    <x v="2"/>
    <s v="BIMAL DEBNATH"/>
    <s v="MSKC"/>
  </r>
  <r>
    <x v="387"/>
    <d v="2015-08-09T00:00:00"/>
    <x v="0"/>
    <n v="23"/>
    <x v="0"/>
    <x v="10"/>
    <s v="Both"/>
    <x v="0"/>
    <s v="BIMAL DEBNATH"/>
    <s v="MSKC"/>
  </r>
  <r>
    <x v="388"/>
    <d v="2015-09-03T00:00:00"/>
    <x v="0"/>
    <n v="24"/>
    <x v="0"/>
    <x v="1"/>
    <s v="Both"/>
    <x v="0"/>
    <s v="BIMAL DEBNATH"/>
    <s v="MSKC"/>
  </r>
  <r>
    <x v="389"/>
    <d v="2015-06-18T00:00:00"/>
    <x v="0"/>
    <n v="24"/>
    <x v="0"/>
    <x v="1"/>
    <s v="Both"/>
    <x v="1"/>
    <s v="BIMAL DEBNATH"/>
    <s v="MSKC"/>
  </r>
  <r>
    <x v="390"/>
    <d v="2015-10-09T00:00:00"/>
    <x v="0"/>
    <n v="32"/>
    <x v="0"/>
    <x v="7"/>
    <s v="Both"/>
    <x v="1"/>
    <s v="BIMAL DEBNATH"/>
    <s v="MSKC"/>
  </r>
  <r>
    <x v="391"/>
    <d v="2015-08-20T00:00:00"/>
    <x v="0"/>
    <n v="24"/>
    <x v="1"/>
    <x v="1"/>
    <s v="Both"/>
    <x v="0"/>
    <s v="BIMAL DEBNATH"/>
    <s v="MSKC"/>
  </r>
  <r>
    <x v="392"/>
    <d v="2015-06-24T00:00:00"/>
    <x v="0"/>
    <n v="32"/>
    <x v="1"/>
    <x v="9"/>
    <s v="Both"/>
    <x v="2"/>
    <s v="BIMAL DEBNATH"/>
    <s v="MSKC"/>
  </r>
  <r>
    <x v="393"/>
    <d v="2015-10-12T00:00:00"/>
    <x v="0"/>
    <n v="36"/>
    <x v="1"/>
    <x v="1"/>
    <s v="Both"/>
    <x v="1"/>
    <s v="BIMAL DEBNATH"/>
    <s v="MSKC"/>
  </r>
  <r>
    <x v="394"/>
    <d v="2014-12-04T00:00:00"/>
    <x v="1"/>
    <n v="24"/>
    <x v="0"/>
    <x v="9"/>
    <s v="Both"/>
    <x v="2"/>
    <s v="BIMAL DEBNATH"/>
    <s v="MSKC"/>
  </r>
  <r>
    <x v="395"/>
    <d v="2014-05-01T00:00:00"/>
    <x v="1"/>
    <n v="35"/>
    <x v="0"/>
    <x v="10"/>
    <s v="Both"/>
    <x v="2"/>
    <s v="BIMAL DEBNATH"/>
    <s v="MSKC"/>
  </r>
  <r>
    <x v="396"/>
    <d v="2014-01-08T00:00:00"/>
    <x v="2"/>
    <n v="35"/>
    <x v="0"/>
    <x v="6"/>
    <s v="Both"/>
    <x v="0"/>
    <s v="BIMAL DEBNATH"/>
    <s v="MSKC"/>
  </r>
  <r>
    <x v="397"/>
    <d v="2014-07-16T00:00:00"/>
    <x v="1"/>
    <n v="39"/>
    <x v="0"/>
    <x v="10"/>
    <s v="Both"/>
    <x v="0"/>
    <s v="BIMAL DEBNATH"/>
    <s v="MSKC"/>
  </r>
  <r>
    <x v="398"/>
    <d v="2014-11-11T00:00:00"/>
    <x v="1"/>
    <n v="50"/>
    <x v="0"/>
    <x v="1"/>
    <s v="Both"/>
    <x v="1"/>
    <s v="BIMAL DEBNATH"/>
    <s v="MSKC"/>
  </r>
  <r>
    <x v="399"/>
    <d v="2013-03-17T00:00:00"/>
    <x v="3"/>
    <n v="30"/>
    <x v="0"/>
    <x v="9"/>
    <s v="Both"/>
    <x v="1"/>
    <s v="BIMAL DEBNATH"/>
    <s v="MSKC"/>
  </r>
  <r>
    <x v="400"/>
    <d v="2013-04-15T00:00:00"/>
    <x v="2"/>
    <n v="40"/>
    <x v="0"/>
    <x v="0"/>
    <s v="Both"/>
    <x v="0"/>
    <s v="BIMAL DEBNATH"/>
    <s v="MSKC"/>
  </r>
  <r>
    <x v="401"/>
    <d v="2012-03-14T00:00:00"/>
    <x v="5"/>
    <n v="32"/>
    <x v="0"/>
    <x v="0"/>
    <s v="Both"/>
    <x v="2"/>
    <s v="BIMAL DEBNATH"/>
    <s v="MSKC"/>
  </r>
  <r>
    <x v="25"/>
    <d v="2012-02-02T00:00:00"/>
    <x v="5"/>
    <n v="45"/>
    <x v="0"/>
    <x v="6"/>
    <s v="Both"/>
    <x v="1"/>
    <s v="BIMAL DEBNATH"/>
    <s v="MSKC"/>
  </r>
  <r>
    <x v="402"/>
    <d v="2012-12-05T00:00:00"/>
    <x v="3"/>
    <n v="55"/>
    <x v="0"/>
    <x v="9"/>
    <s v="Both"/>
    <x v="2"/>
    <s v="BIMAL DEBNATH"/>
    <s v="MSKC"/>
  </r>
  <r>
    <x v="403"/>
    <d v="2011-02-07T00:00:00"/>
    <x v="6"/>
    <n v="42"/>
    <x v="0"/>
    <x v="0"/>
    <s v="Both"/>
    <x v="2"/>
    <s v="BIMAL DEBNATH"/>
    <s v="MSKC"/>
  </r>
  <r>
    <x v="404"/>
    <d v="2011-08-31T00:00:00"/>
    <x v="5"/>
    <n v="42"/>
    <x v="0"/>
    <x v="2"/>
    <s v="Both"/>
    <x v="0"/>
    <s v="BIMAL DEBNATH"/>
    <s v="MSKC"/>
  </r>
  <r>
    <x v="405"/>
    <d v="2010-10-08T00:00:00"/>
    <x v="6"/>
    <n v="55"/>
    <x v="1"/>
    <x v="5"/>
    <s v="Both"/>
    <x v="0"/>
    <s v="BIMAL DEBNATH"/>
    <s v="MSKC"/>
  </r>
  <r>
    <x v="406"/>
    <d v="2008-04-07T00:00:00"/>
    <x v="7"/>
    <n v="42"/>
    <x v="0"/>
    <x v="5"/>
    <s v="Both"/>
    <x v="1"/>
    <s v="BIMAL DEBNATH"/>
    <s v="MSKC"/>
  </r>
  <r>
    <x v="407"/>
    <d v="2008-09-26T00:00:00"/>
    <x v="7"/>
    <n v="65"/>
    <x v="1"/>
    <x v="5"/>
    <s v="Both"/>
    <x v="1"/>
    <s v="BIMAL DEBNATH"/>
    <s v="MSKC"/>
  </r>
  <r>
    <x v="408"/>
    <d v="2017-06-06T00:00:00"/>
    <x v="15"/>
    <n v="24"/>
    <x v="1"/>
    <x v="8"/>
    <s v="Both"/>
    <x v="0"/>
    <s v="BIMAL DEBNATH"/>
    <s v="NASKUGKC"/>
  </r>
  <r>
    <x v="409"/>
    <d v="2015-08-22T00:00:00"/>
    <x v="0"/>
    <n v="50"/>
    <x v="1"/>
    <x v="10"/>
    <s v="Both"/>
    <x v="2"/>
    <s v="BIMAL DEBNATH"/>
    <s v="NASKUGKC"/>
  </r>
  <r>
    <x v="410"/>
    <d v="2014-04-08T00:00:00"/>
    <x v="1"/>
    <n v="31"/>
    <x v="1"/>
    <x v="9"/>
    <s v="Both"/>
    <x v="1"/>
    <s v="BIMAL DEBNATH"/>
    <s v="NASKUGKC"/>
  </r>
  <r>
    <x v="411"/>
    <d v="2013-05-28T00:00:00"/>
    <x v="2"/>
    <n v="41"/>
    <x v="0"/>
    <x v="1"/>
    <s v="Both"/>
    <x v="2"/>
    <s v="BIMAL DEBNATH"/>
    <s v="NASKUGKC"/>
  </r>
  <r>
    <x v="412"/>
    <d v="2013-11-16T00:00:00"/>
    <x v="2"/>
    <n v="39"/>
    <x v="1"/>
    <x v="0"/>
    <s v="Both"/>
    <x v="2"/>
    <s v="BIMAL DEBNATH"/>
    <s v="NASKUGKC"/>
  </r>
  <r>
    <x v="413"/>
    <d v="2010-12-20T00:00:00"/>
    <x v="6"/>
    <n v="42"/>
    <x v="0"/>
    <x v="10"/>
    <s v="Both"/>
    <x v="0"/>
    <s v="BIMAL DEBNATH"/>
    <s v="NASKUGKC"/>
  </r>
  <r>
    <x v="414"/>
    <d v="2011-11-04T00:00:00"/>
    <x v="5"/>
    <n v="35"/>
    <x v="1"/>
    <x v="10"/>
    <s v="Both"/>
    <x v="0"/>
    <s v="BIMAL DEBNATH"/>
    <s v="NASKUGKC"/>
  </r>
  <r>
    <x v="415"/>
    <d v="2011-09-20T00:00:00"/>
    <x v="5"/>
    <n v="48"/>
    <x v="1"/>
    <x v="3"/>
    <s v="Both"/>
    <x v="1"/>
    <s v="BIMAL DEBNATH"/>
    <s v="NASKUGKC"/>
  </r>
  <r>
    <x v="416"/>
    <d v="2015-09-09T00:00:00"/>
    <x v="0"/>
    <n v="22"/>
    <x v="0"/>
    <x v="8"/>
    <s v="Both"/>
    <x v="1"/>
    <s v="BIMAL DEBNATH"/>
    <s v="PBSKC"/>
  </r>
  <r>
    <x v="417"/>
    <d v="2014-01-28T00:00:00"/>
    <x v="2"/>
    <n v="35"/>
    <x v="0"/>
    <x v="1"/>
    <s v="Both"/>
    <x v="0"/>
    <s v="BIMAL DEBNATH"/>
    <s v="PBSKC"/>
  </r>
  <r>
    <x v="418"/>
    <d v="2014-05-02T00:00:00"/>
    <x v="1"/>
    <n v="38"/>
    <x v="0"/>
    <x v="6"/>
    <s v="Both"/>
    <x v="2"/>
    <s v="BIMAL DEBNATH"/>
    <s v="PBSKC"/>
  </r>
  <r>
    <x v="419"/>
    <d v="2014-08-15T00:00:00"/>
    <x v="1"/>
    <n v="40"/>
    <x v="0"/>
    <x v="10"/>
    <s v="Both"/>
    <x v="1"/>
    <s v="BIMAL DEBNATH"/>
    <s v="PBSKC"/>
  </r>
  <r>
    <x v="420"/>
    <d v="2013-09-23T00:00:00"/>
    <x v="2"/>
    <n v="35"/>
    <x v="0"/>
    <x v="9"/>
    <s v="Both"/>
    <x v="2"/>
    <s v="BIMAL DEBNATH"/>
    <s v="PBSKC"/>
  </r>
  <r>
    <x v="421"/>
    <d v="2013-08-11T00:00:00"/>
    <x v="2"/>
    <n v="40"/>
    <x v="1"/>
    <x v="1"/>
    <s v="Both"/>
    <x v="2"/>
    <s v="BIMAL DEBNATH"/>
    <s v="PBSKC"/>
  </r>
  <r>
    <x v="422"/>
    <d v="2012-01-21T00:00:00"/>
    <x v="5"/>
    <n v="45"/>
    <x v="0"/>
    <x v="1"/>
    <s v="Both"/>
    <x v="0"/>
    <s v="BIMAL DEBNATH"/>
    <s v="PBSKC"/>
  </r>
  <r>
    <x v="423"/>
    <d v="2012-11-16T00:00:00"/>
    <x v="3"/>
    <n v="52"/>
    <x v="0"/>
    <x v="10"/>
    <s v="Both"/>
    <x v="0"/>
    <s v="BIMAL DEBNATH"/>
    <s v="PBSKC"/>
  </r>
  <r>
    <x v="424"/>
    <d v="2012-11-17T00:00:00"/>
    <x v="3"/>
    <n v="43"/>
    <x v="1"/>
    <x v="6"/>
    <s v="Both"/>
    <x v="1"/>
    <s v="BIMAL DEBNATH"/>
    <s v="PBSKC"/>
  </r>
  <r>
    <x v="425"/>
    <d v="2012-10-05T00:00:00"/>
    <x v="3"/>
    <n v="65"/>
    <x v="1"/>
    <x v="6"/>
    <s v="Both"/>
    <x v="1"/>
    <s v="BIMAL DEBNATH"/>
    <s v="PBSKC"/>
  </r>
  <r>
    <x v="426"/>
    <d v="2013-10-11T00:00:00"/>
    <x v="2"/>
    <n v="41"/>
    <x v="0"/>
    <x v="8"/>
    <s v="Kumite"/>
    <x v="0"/>
    <s v="BIMAL DEBNATH"/>
    <s v="PBSKC"/>
  </r>
  <r>
    <x v="427"/>
    <d v="2018-02-18T00:00:00"/>
    <x v="15"/>
    <n v="32"/>
    <x v="0"/>
    <x v="1"/>
    <s v="Both"/>
    <x v="2"/>
    <s v="SUBHAJIT MALIK"/>
    <s v="PKA"/>
  </r>
  <r>
    <x v="428"/>
    <d v="2017-10-16T00:00:00"/>
    <x v="15"/>
    <n v="39"/>
    <x v="0"/>
    <x v="0"/>
    <s v="Both"/>
    <x v="1"/>
    <s v="SUBHAJIT MALIK"/>
    <s v="PKA"/>
  </r>
  <r>
    <x v="429"/>
    <d v="2015-11-29T00:00:00"/>
    <x v="0"/>
    <n v="35"/>
    <x v="0"/>
    <x v="3"/>
    <s v="Both"/>
    <x v="2"/>
    <s v="SUBHAJIT MALIK"/>
    <s v="PKA"/>
  </r>
  <r>
    <x v="430"/>
    <d v="2015-07-12T00:00:00"/>
    <x v="0"/>
    <n v="35"/>
    <x v="1"/>
    <x v="3"/>
    <s v="Both"/>
    <x v="2"/>
    <s v="SUBHAJIT MALIK"/>
    <s v="PKA"/>
  </r>
  <r>
    <x v="431"/>
    <d v="2015-03-09T00:00:00"/>
    <x v="1"/>
    <n v="45"/>
    <x v="1"/>
    <x v="6"/>
    <s v="Both"/>
    <x v="0"/>
    <s v="SUBHAJIT MALIK"/>
    <s v="PKA"/>
  </r>
  <r>
    <x v="432"/>
    <d v="2014-08-21T00:00:00"/>
    <x v="1"/>
    <n v="45"/>
    <x v="0"/>
    <x v="0"/>
    <s v="Both"/>
    <x v="0"/>
    <s v="SUBHAJIT MALIK"/>
    <s v="PKA"/>
  </r>
  <r>
    <x v="433"/>
    <d v="2013-09-10T00:00:00"/>
    <x v="2"/>
    <n v="49.8"/>
    <x v="0"/>
    <x v="9"/>
    <s v="Both"/>
    <x v="1"/>
    <s v="SUBHAJIT MALIK"/>
    <s v="PKA"/>
  </r>
  <r>
    <x v="434"/>
    <d v="2013-09-09T00:00:00"/>
    <x v="2"/>
    <n v="39"/>
    <x v="1"/>
    <x v="7"/>
    <s v="Both"/>
    <x v="1"/>
    <s v="SUBHAJIT MALIK"/>
    <s v="PKA"/>
  </r>
  <r>
    <x v="435"/>
    <d v="2017-11-09T00:00:00"/>
    <x v="15"/>
    <n v="19"/>
    <x v="0"/>
    <x v="8"/>
    <s v="Both"/>
    <x v="0"/>
    <s v="SUJAN ROY"/>
    <s v="PSKA"/>
  </r>
  <r>
    <x v="436"/>
    <d v="2016-08-03T00:00:00"/>
    <x v="16"/>
    <n v="33"/>
    <x v="0"/>
    <x v="8"/>
    <s v="Both"/>
    <x v="2"/>
    <s v="SUJAN ROY"/>
    <s v="PSKA"/>
  </r>
  <r>
    <x v="437"/>
    <d v="2015-08-05T00:00:00"/>
    <x v="0"/>
    <n v="20"/>
    <x v="1"/>
    <x v="8"/>
    <s v="Both"/>
    <x v="1"/>
    <s v="SUJAN ROY"/>
    <s v="PSKA"/>
  </r>
  <r>
    <x v="438"/>
    <d v="2014-09-10T00:00:00"/>
    <x v="1"/>
    <n v="49"/>
    <x v="1"/>
    <x v="0"/>
    <s v="Both"/>
    <x v="2"/>
    <s v="SUJAN ROY"/>
    <s v="PSKA"/>
  </r>
  <r>
    <x v="439"/>
    <d v="2013-07-15T00:00:00"/>
    <x v="2"/>
    <n v="42"/>
    <x v="0"/>
    <x v="10"/>
    <s v="Both"/>
    <x v="2"/>
    <s v="SUJAN ROY"/>
    <s v="PSKA"/>
  </r>
  <r>
    <x v="440"/>
    <d v="2013-10-08T00:00:00"/>
    <x v="2"/>
    <n v="39"/>
    <x v="1"/>
    <x v="9"/>
    <s v="Both"/>
    <x v="0"/>
    <s v="SUJAN ROY"/>
    <s v="PSKA"/>
  </r>
  <r>
    <x v="441"/>
    <d v="2010-11-06T00:00:00"/>
    <x v="6"/>
    <n v="46"/>
    <x v="0"/>
    <x v="8"/>
    <s v="Both"/>
    <x v="0"/>
    <s v="SUJAN ROY"/>
    <s v="PSKA"/>
  </r>
  <r>
    <x v="442"/>
    <d v="2011-08-06T00:00:00"/>
    <x v="5"/>
    <n v="59"/>
    <x v="0"/>
    <x v="0"/>
    <s v="Both"/>
    <x v="1"/>
    <s v="SUJAN ROY"/>
    <s v="PSKA"/>
  </r>
  <r>
    <x v="443"/>
    <d v="2011-09-04T00:00:00"/>
    <x v="5"/>
    <n v="48"/>
    <x v="1"/>
    <x v="9"/>
    <s v="Both"/>
    <x v="1"/>
    <s v="SUJAN ROY"/>
    <s v="PSKA"/>
  </r>
  <r>
    <x v="444"/>
    <d v="2010-03-01T00:00:00"/>
    <x v="8"/>
    <n v="46"/>
    <x v="1"/>
    <x v="9"/>
    <s v="Both"/>
    <x v="0"/>
    <s v="SUJAN ROY"/>
    <s v="PSKA"/>
  </r>
  <r>
    <x v="445"/>
    <d v="2008-03-05T00:00:00"/>
    <x v="12"/>
    <n v="54"/>
    <x v="0"/>
    <x v="10"/>
    <s v="Both"/>
    <x v="2"/>
    <s v="SUJAN ROY"/>
    <s v="PSKA"/>
  </r>
  <r>
    <x v="446"/>
    <d v="2009-06-06T00:00:00"/>
    <x v="8"/>
    <n v="43"/>
    <x v="1"/>
    <x v="8"/>
    <s v="Both"/>
    <x v="1"/>
    <s v="SUJAN ROY"/>
    <s v="PSKA"/>
  </r>
  <r>
    <x v="447"/>
    <d v="2007-02-02T00:00:00"/>
    <x v="17"/>
    <n v="49"/>
    <x v="0"/>
    <x v="10"/>
    <s v="Both"/>
    <x v="2"/>
    <s v="SUJAN ROY"/>
    <s v="PSKA"/>
  </r>
  <r>
    <x v="448"/>
    <d v="2019-04-13T00:00:00"/>
    <x v="14"/>
    <n v="16"/>
    <x v="0"/>
    <x v="8"/>
    <s v="Both"/>
    <x v="2"/>
    <s v="VISHNU SHAW"/>
    <s v="PSKC"/>
  </r>
  <r>
    <x v="449"/>
    <d v="2018-12-03T00:00:00"/>
    <x v="4"/>
    <n v="23"/>
    <x v="0"/>
    <x v="8"/>
    <s v="Both"/>
    <x v="0"/>
    <s v="VISHNU SHAW"/>
    <s v="PSKC"/>
  </r>
  <r>
    <x v="450"/>
    <d v="2017-08-24T00:00:00"/>
    <x v="15"/>
    <n v="23"/>
    <x v="0"/>
    <x v="8"/>
    <s v="Both"/>
    <x v="0"/>
    <s v="VISHNU SHAW"/>
    <s v="PSKC"/>
  </r>
  <r>
    <x v="451"/>
    <d v="2017-09-23T00:00:00"/>
    <x v="15"/>
    <n v="25"/>
    <x v="0"/>
    <x v="8"/>
    <s v="Both"/>
    <x v="1"/>
    <s v="VISHNU SHAW"/>
    <s v="PSKC"/>
  </r>
  <r>
    <x v="452"/>
    <d v="2017-05-26T00:00:00"/>
    <x v="15"/>
    <n v="30"/>
    <x v="0"/>
    <x v="8"/>
    <s v="Both"/>
    <x v="1"/>
    <s v="VISHNU SHAW"/>
    <s v="PSKC"/>
  </r>
  <r>
    <x v="453"/>
    <d v="2017-09-15T00:00:00"/>
    <x v="15"/>
    <n v="33"/>
    <x v="0"/>
    <x v="8"/>
    <s v="Both"/>
    <x v="0"/>
    <s v="VISHNU SHAW"/>
    <s v="PSKC"/>
  </r>
  <r>
    <x v="454"/>
    <d v="2017-08-18T00:00:00"/>
    <x v="15"/>
    <n v="23"/>
    <x v="1"/>
    <x v="0"/>
    <s v="Both"/>
    <x v="2"/>
    <s v="VISHNU SHAW"/>
    <s v="PSKC"/>
  </r>
  <r>
    <x v="455"/>
    <d v="2017-06-20T00:00:00"/>
    <x v="15"/>
    <n v="30"/>
    <x v="1"/>
    <x v="0"/>
    <s v="Both"/>
    <x v="1"/>
    <s v="VISHNU SHAW"/>
    <s v="PSKC"/>
  </r>
  <r>
    <x v="456"/>
    <d v="2016-12-16T00:00:00"/>
    <x v="16"/>
    <n v="30"/>
    <x v="1"/>
    <x v="10"/>
    <s v="Both"/>
    <x v="2"/>
    <s v="VISHNU SHAW"/>
    <s v="PSKC"/>
  </r>
  <r>
    <x v="457"/>
    <d v="2013-08-28T00:00:00"/>
    <x v="2"/>
    <n v="39"/>
    <x v="1"/>
    <x v="3"/>
    <s v="Both"/>
    <x v="2"/>
    <s v="VISHNU SHAW"/>
    <s v="PSKC"/>
  </r>
  <r>
    <x v="458"/>
    <d v="2012-03-09T00:00:00"/>
    <x v="5"/>
    <n v="43"/>
    <x v="0"/>
    <x v="2"/>
    <s v="Both"/>
    <x v="0"/>
    <s v="VISHNU SHAW"/>
    <s v="PSKC"/>
  </r>
  <r>
    <x v="459"/>
    <d v="2017-12-01T00:00:00"/>
    <x v="15"/>
    <n v="22"/>
    <x v="0"/>
    <x v="1"/>
    <s v="Both"/>
    <x v="0"/>
    <s v="SUBHASH SARKAR"/>
    <s v="RSKA"/>
  </r>
  <r>
    <x v="460"/>
    <d v="2016-09-29T00:00:00"/>
    <x v="16"/>
    <n v="25"/>
    <x v="1"/>
    <x v="10"/>
    <s v="Both"/>
    <x v="1"/>
    <s v="SUBHASH SARKAR"/>
    <s v="RSKA"/>
  </r>
  <r>
    <x v="461"/>
    <d v="2015-07-12T00:00:00"/>
    <x v="0"/>
    <n v="23"/>
    <x v="1"/>
    <x v="10"/>
    <s v="Both"/>
    <x v="1"/>
    <s v="SUBHASH SARKAR"/>
    <s v="RSKA"/>
  </r>
  <r>
    <x v="462"/>
    <d v="2015-10-21T00:00:00"/>
    <x v="0"/>
    <n v="35"/>
    <x v="1"/>
    <x v="10"/>
    <s v="Both"/>
    <x v="0"/>
    <s v="SUBHASH SARKAR"/>
    <s v="RSKA"/>
  </r>
  <r>
    <x v="463"/>
    <d v="2015-07-02T00:00:00"/>
    <x v="0"/>
    <n v="49"/>
    <x v="2"/>
    <x v="9"/>
    <s v="Both"/>
    <x v="2"/>
    <s v="SUBHASH SARKAR"/>
    <s v="RSKA"/>
  </r>
  <r>
    <x v="464"/>
    <d v="2013-07-17T00:00:00"/>
    <x v="2"/>
    <n v="39"/>
    <x v="0"/>
    <x v="9"/>
    <s v="Both"/>
    <x v="1"/>
    <s v="SUBHASH SARKAR"/>
    <s v="RSKA"/>
  </r>
  <r>
    <x v="465"/>
    <d v="2013-11-20T00:00:00"/>
    <x v="2"/>
    <n v="26.6"/>
    <x v="1"/>
    <x v="2"/>
    <s v="Both"/>
    <x v="2"/>
    <s v="SUBHASH SARKAR"/>
    <s v="RSKA"/>
  </r>
  <r>
    <x v="466"/>
    <d v="2013-11-20T00:00:00"/>
    <x v="2"/>
    <n v="28"/>
    <x v="1"/>
    <x v="2"/>
    <s v="Both"/>
    <x v="2"/>
    <s v="SUBHASH SARKAR"/>
    <s v="RSKA"/>
  </r>
  <r>
    <x v="467"/>
    <d v="2013-08-02T00:00:00"/>
    <x v="2"/>
    <n v="34"/>
    <x v="1"/>
    <x v="3"/>
    <s v="Both"/>
    <x v="0"/>
    <s v="SUBHASH SARKAR"/>
    <s v="RSKA"/>
  </r>
  <r>
    <x v="468"/>
    <d v="2013-09-05T00:00:00"/>
    <x v="2"/>
    <n v="34"/>
    <x v="1"/>
    <x v="5"/>
    <s v="Both"/>
    <x v="0"/>
    <s v="SUBHASH SARKAR"/>
    <s v="RSKA"/>
  </r>
  <r>
    <x v="469"/>
    <d v="2013-05-28T00:00:00"/>
    <x v="2"/>
    <n v="33"/>
    <x v="2"/>
    <x v="12"/>
    <s v="Both"/>
    <x v="1"/>
    <s v="SUBHASH SARKAR"/>
    <s v="RSKA"/>
  </r>
  <r>
    <x v="470"/>
    <d v="2012-12-30T00:00:00"/>
    <x v="3"/>
    <n v="55"/>
    <x v="2"/>
    <x v="13"/>
    <s v="Both"/>
    <x v="1"/>
    <s v="SUBHASH SARKAR"/>
    <s v="RSKA"/>
  </r>
  <r>
    <x v="471"/>
    <d v="2013-01-01T00:00:00"/>
    <x v="3"/>
    <n v="45"/>
    <x v="1"/>
    <x v="6"/>
    <s v="Both"/>
    <x v="0"/>
    <s v="SUBHASH SARKAR"/>
    <s v="RSKA"/>
  </r>
  <r>
    <x v="472"/>
    <d v="2013-09-14T00:00:00"/>
    <x v="2"/>
    <n v="49"/>
    <x v="1"/>
    <x v="2"/>
    <s v="Both"/>
    <x v="2"/>
    <s v="SUBHASH SARKAR"/>
    <s v="RSKA"/>
  </r>
  <r>
    <x v="473"/>
    <d v="2012-08-21T00:00:00"/>
    <x v="3"/>
    <n v="32"/>
    <x v="0"/>
    <x v="3"/>
    <s v="Both"/>
    <x v="1"/>
    <s v="SUBHASH SARKAR"/>
    <s v="RSKA"/>
  </r>
  <r>
    <x v="474"/>
    <d v="2012-11-23T00:00:00"/>
    <x v="3"/>
    <n v="52"/>
    <x v="2"/>
    <x v="9"/>
    <s v="Both"/>
    <x v="2"/>
    <s v="SUBHASH SARKAR"/>
    <s v="RSKA"/>
  </r>
  <r>
    <x v="475"/>
    <d v="2011-11-02T00:00:00"/>
    <x v="5"/>
    <n v="45"/>
    <x v="0"/>
    <x v="0"/>
    <s v="Both"/>
    <x v="2"/>
    <s v="SUBHASH SARKAR"/>
    <s v="RSKA"/>
  </r>
  <r>
    <x v="476"/>
    <d v="2011-07-28T00:00:00"/>
    <x v="5"/>
    <n v="45"/>
    <x v="0"/>
    <x v="2"/>
    <s v="Both"/>
    <x v="0"/>
    <s v="SUBHASH SARKAR"/>
    <s v="RSKA"/>
  </r>
  <r>
    <x v="477"/>
    <d v="2011-09-15T00:00:00"/>
    <x v="5"/>
    <n v="39"/>
    <x v="1"/>
    <x v="3"/>
    <s v="Both"/>
    <x v="0"/>
    <s v="SUBHASH SARKAR"/>
    <s v="RSKA"/>
  </r>
  <r>
    <x v="478"/>
    <d v="2010-11-14T00:00:00"/>
    <x v="6"/>
    <n v="35"/>
    <x v="1"/>
    <x v="3"/>
    <s v="Both"/>
    <x v="1"/>
    <s v="SUBHASH SARKAR"/>
    <s v="RSKA"/>
  </r>
  <r>
    <x v="479"/>
    <d v="2010-09-11T00:00:00"/>
    <x v="6"/>
    <n v="38"/>
    <x v="1"/>
    <x v="3"/>
    <s v="Both"/>
    <x v="1"/>
    <s v="SUBHASH SARKAR"/>
    <s v="RSKA"/>
  </r>
  <r>
    <x v="480"/>
    <d v="2010-09-10T00:00:00"/>
    <x v="6"/>
    <n v="45"/>
    <x v="1"/>
    <x v="2"/>
    <s v="Both"/>
    <x v="0"/>
    <s v="SUBHASH SARKAR"/>
    <s v="RSKA"/>
  </r>
  <r>
    <x v="481"/>
    <d v="2009-08-06T00:00:00"/>
    <x v="8"/>
    <n v="44"/>
    <x v="0"/>
    <x v="6"/>
    <s v="Both"/>
    <x v="2"/>
    <s v="SUBHASH SARKAR"/>
    <s v="RSKA"/>
  </r>
  <r>
    <x v="482"/>
    <d v="2008-03-11T00:00:00"/>
    <x v="12"/>
    <n v="50"/>
    <x v="0"/>
    <x v="5"/>
    <s v="Both"/>
    <x v="1"/>
    <s v="SUBHASH SARKAR"/>
    <s v="RSKA"/>
  </r>
  <r>
    <x v="483"/>
    <d v="2009-02-28T00:00:00"/>
    <x v="7"/>
    <n v="57"/>
    <x v="0"/>
    <x v="2"/>
    <s v="Both"/>
    <x v="2"/>
    <s v="SUBHASH SARKAR"/>
    <s v="RSKA"/>
  </r>
  <r>
    <x v="484"/>
    <d v="2009-11-15T00:00:00"/>
    <x v="8"/>
    <n v="58"/>
    <x v="0"/>
    <x v="6"/>
    <s v="Both"/>
    <x v="2"/>
    <s v="SUBHASH SARKAR"/>
    <s v="RSKA"/>
  </r>
  <r>
    <x v="485"/>
    <d v="2008-04-09T00:00:00"/>
    <x v="7"/>
    <n v="60"/>
    <x v="0"/>
    <x v="5"/>
    <s v="Both"/>
    <x v="0"/>
    <s v="SUBHASH SARKAR"/>
    <s v="RSKA"/>
  </r>
  <r>
    <x v="486"/>
    <d v="2009-07-25T00:00:00"/>
    <x v="8"/>
    <n v="49"/>
    <x v="2"/>
    <x v="11"/>
    <s v="Both"/>
    <x v="0"/>
    <s v="SUBHASH SARKAR"/>
    <s v="RSKA"/>
  </r>
  <r>
    <x v="487"/>
    <d v="2015-10-29T00:00:00"/>
    <x v="0"/>
    <n v="35"/>
    <x v="0"/>
    <x v="9"/>
    <s v="Kumite"/>
    <x v="1"/>
    <s v="SUBHASH SARKAR"/>
    <s v="RSKA"/>
  </r>
  <r>
    <x v="488"/>
    <d v="2013-11-30T00:00:00"/>
    <x v="2"/>
    <n v="32"/>
    <x v="1"/>
    <x v="1"/>
    <s v="Kumite"/>
    <x v="1"/>
    <s v="SUBHASH SARKAR"/>
    <s v="RSKA"/>
  </r>
  <r>
    <x v="489"/>
    <d v="2019-01-23T00:00:00"/>
    <x v="4"/>
    <n v="0"/>
    <x v="0"/>
    <x v="7"/>
    <s v="Kata"/>
    <x v="0"/>
    <s v="YUKTA JASH"/>
    <s v="SKA (SAKTIGARH)"/>
  </r>
  <r>
    <x v="490"/>
    <d v="2018-04-27T00:00:00"/>
    <x v="4"/>
    <n v="13"/>
    <x v="0"/>
    <x v="1"/>
    <s v="Both"/>
    <x v="2"/>
    <s v="YUKTA JASH"/>
    <s v="SKA (SAKTIGARH)"/>
  </r>
  <r>
    <x v="491"/>
    <d v="2018-06-01T00:00:00"/>
    <x v="4"/>
    <n v="19"/>
    <x v="1"/>
    <x v="1"/>
    <s v="Both"/>
    <x v="1"/>
    <s v="YUKTA JASH"/>
    <s v="SKA (SAKTIGARH)"/>
  </r>
  <r>
    <x v="492"/>
    <d v="2017-01-01T00:00:00"/>
    <x v="16"/>
    <n v="29"/>
    <x v="1"/>
    <x v="8"/>
    <s v="Both"/>
    <x v="2"/>
    <s v="YUKTA JASH"/>
    <s v="SKA (SAKTIGARH)"/>
  </r>
  <r>
    <x v="493"/>
    <d v="2016-11-02T00:00:00"/>
    <x v="16"/>
    <n v="30"/>
    <x v="0"/>
    <x v="0"/>
    <s v="Both"/>
    <x v="2"/>
    <s v="YUKTA JASH"/>
    <s v="SKA (SAKTIGARH)"/>
  </r>
  <r>
    <x v="494"/>
    <d v="2016-01-23T00:00:00"/>
    <x v="0"/>
    <n v="39"/>
    <x v="0"/>
    <x v="8"/>
    <s v="Both"/>
    <x v="0"/>
    <s v="YUKTA JASH"/>
    <s v="SKA (SAKTIGARH)"/>
  </r>
  <r>
    <x v="495"/>
    <d v="2016-08-17T00:00:00"/>
    <x v="16"/>
    <n v="18"/>
    <x v="1"/>
    <x v="7"/>
    <s v="Both"/>
    <x v="0"/>
    <s v="YUKTA JASH"/>
    <s v="SKA (SAKTIGARH)"/>
  </r>
  <r>
    <x v="496"/>
    <d v="2016-04-26T00:00:00"/>
    <x v="16"/>
    <n v="23"/>
    <x v="1"/>
    <x v="1"/>
    <s v="Both"/>
    <x v="1"/>
    <s v="YUKTA JASH"/>
    <s v="SKA (SAKTIGARH)"/>
  </r>
  <r>
    <x v="497"/>
    <d v="2016-12-15T00:00:00"/>
    <x v="16"/>
    <n v="38"/>
    <x v="1"/>
    <x v="0"/>
    <s v="Both"/>
    <x v="1"/>
    <s v="YUKTA JASH"/>
    <s v="SKA (SAKTIGARH)"/>
  </r>
  <r>
    <x v="498"/>
    <d v="2015-10-22T00:00:00"/>
    <x v="0"/>
    <n v="0"/>
    <x v="1"/>
    <x v="7"/>
    <s v="Kata"/>
    <x v="0"/>
    <s v="YUKTA JASH"/>
    <s v="SKA (SAKTIGARH)"/>
  </r>
  <r>
    <x v="499"/>
    <d v="2014-01-28T00:00:00"/>
    <x v="2"/>
    <n v="38"/>
    <x v="1"/>
    <x v="7"/>
    <s v="Both"/>
    <x v="2"/>
    <s v="YUKTA JASH"/>
    <s v="SKA (SAKTIGARH)"/>
  </r>
  <r>
    <x v="500"/>
    <d v="2014-03-30T00:00:00"/>
    <x v="1"/>
    <n v="44"/>
    <x v="1"/>
    <x v="0"/>
    <s v="Both"/>
    <x v="1"/>
    <s v="YUKTA JASH"/>
    <s v="SKA (SAKTIGARH)"/>
  </r>
  <r>
    <x v="501"/>
    <d v="2014-06-02T00:00:00"/>
    <x v="1"/>
    <n v="51"/>
    <x v="1"/>
    <x v="10"/>
    <s v="Both"/>
    <x v="2"/>
    <s v="YUKTA JASH"/>
    <s v="SKA (SAKTIGARH)"/>
  </r>
  <r>
    <x v="502"/>
    <d v="2013-07-02T00:00:00"/>
    <x v="2"/>
    <n v="24"/>
    <x v="0"/>
    <x v="9"/>
    <s v="Both"/>
    <x v="2"/>
    <s v="YUKTA JASH"/>
    <s v="SKA (SAKTIGARH)"/>
  </r>
  <r>
    <x v="503"/>
    <d v="2013-11-30T00:00:00"/>
    <x v="2"/>
    <n v="32"/>
    <x v="1"/>
    <x v="9"/>
    <s v="Both"/>
    <x v="0"/>
    <s v="YUKTA JASH"/>
    <s v="SKA (SAKTIGARH)"/>
  </r>
  <r>
    <x v="504"/>
    <d v="2012-06-29T00:00:00"/>
    <x v="3"/>
    <n v="32"/>
    <x v="0"/>
    <x v="9"/>
    <s v="Both"/>
    <x v="0"/>
    <s v="YUKTA JASH"/>
    <s v="SKA (SAKTIGARH)"/>
  </r>
  <r>
    <x v="505"/>
    <d v="2012-12-16T00:00:00"/>
    <x v="3"/>
    <n v="45"/>
    <x v="1"/>
    <x v="10"/>
    <s v="Both"/>
    <x v="1"/>
    <s v="YUKTA JASH"/>
    <s v="SKA (SAKTIGARH)"/>
  </r>
  <r>
    <x v="506"/>
    <d v="2012-05-02T00:00:00"/>
    <x v="3"/>
    <n v="60"/>
    <x v="1"/>
    <x v="1"/>
    <s v="Both"/>
    <x v="1"/>
    <s v="YUKTA JASH"/>
    <s v="SKA (SAKTIGARH)"/>
  </r>
  <r>
    <x v="507"/>
    <d v="2011-01-17T00:00:00"/>
    <x v="6"/>
    <n v="45"/>
    <x v="0"/>
    <x v="9"/>
    <s v="Both"/>
    <x v="0"/>
    <s v="YUKTA JASH"/>
    <s v="SKA (SAKTIGARH)"/>
  </r>
  <r>
    <x v="508"/>
    <d v="2010-04-04T00:00:00"/>
    <x v="6"/>
    <n v="51"/>
    <x v="0"/>
    <x v="9"/>
    <s v="Both"/>
    <x v="2"/>
    <s v="YUKTA JASH"/>
    <s v="SKA (SAKTIGARH)"/>
  </r>
  <r>
    <x v="509"/>
    <d v="2010-05-27T00:00:00"/>
    <x v="6"/>
    <n v="60"/>
    <x v="0"/>
    <x v="10"/>
    <s v="Both"/>
    <x v="1"/>
    <s v="YUKTA JASH"/>
    <s v="SKA (SAKTIGARH)"/>
  </r>
  <r>
    <x v="510"/>
    <d v="2005-11-07T00:00:00"/>
    <x v="21"/>
    <n v="63"/>
    <x v="0"/>
    <x v="5"/>
    <s v="Both"/>
    <x v="2"/>
    <s v="YUKTA JASH"/>
    <s v="SKA (SAKTIGARH)"/>
  </r>
  <r>
    <x v="511"/>
    <d v="2015-10-17T00:00:00"/>
    <x v="0"/>
    <n v="35"/>
    <x v="0"/>
    <x v="8"/>
    <s v="Both"/>
    <x v="2"/>
    <s v="DIPAK PRASAD"/>
    <s v="SPCKC"/>
  </r>
  <r>
    <x v="512"/>
    <d v="2013-09-28T00:00:00"/>
    <x v="2"/>
    <n v="36"/>
    <x v="0"/>
    <x v="8"/>
    <s v="Both"/>
    <x v="0"/>
    <s v="DIPAK PRASAD"/>
    <s v="SPCKC"/>
  </r>
  <r>
    <x v="513"/>
    <d v="2020-06-20T00:00:00"/>
    <x v="13"/>
    <n v="18"/>
    <x v="0"/>
    <x v="7"/>
    <s v="Both"/>
    <x v="0"/>
    <s v="BIDYUT DEY"/>
    <s v="SSKC"/>
  </r>
  <r>
    <x v="514"/>
    <d v="2020-09-30T00:00:00"/>
    <x v="13"/>
    <n v="18"/>
    <x v="0"/>
    <x v="7"/>
    <s v="Both"/>
    <x v="1"/>
    <s v="BIDYUT DEY"/>
    <s v="SSKC"/>
  </r>
  <r>
    <x v="515"/>
    <d v="2015-08-18T00:00:00"/>
    <x v="0"/>
    <n v="44"/>
    <x v="0"/>
    <x v="7"/>
    <s v="Both"/>
    <x v="1"/>
    <s v="BIDYUT DEY"/>
    <s v="SSKC"/>
  </r>
  <r>
    <x v="516"/>
    <d v="2012-01-15T00:00:00"/>
    <x v="5"/>
    <n v="39"/>
    <x v="1"/>
    <x v="3"/>
    <s v="Both"/>
    <x v="0"/>
    <s v="BIDYUT DEY"/>
    <s v="SSKC"/>
  </r>
  <r>
    <x v="517"/>
    <d v="2011-10-15T00:00:00"/>
    <x v="5"/>
    <n v="54"/>
    <x v="0"/>
    <x v="9"/>
    <s v="Both"/>
    <x v="2"/>
    <s v="BIDYUT DEY"/>
    <s v="SSKC"/>
  </r>
  <r>
    <x v="518"/>
    <d v="2011-11-28T00:00:00"/>
    <x v="5"/>
    <n v="70"/>
    <x v="1"/>
    <x v="8"/>
    <s v="Both"/>
    <x v="1"/>
    <s v="BIDYUT DEY"/>
    <s v="SSK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55D5B5C-4006-4EFF-9903-9192DBAC8DC2}" name="PivotTable2" cacheId="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AGE" fld="1" baseField="0" baseItem="0"/>
  </dataFields>
  <formats count="19">
    <format dxfId="293">
      <pivotArea type="all" dataOnly="0" outline="0" fieldPosition="0"/>
    </format>
    <format dxfId="292">
      <pivotArea outline="0" collapsedLevelsAreSubtotals="1" fieldPosition="0"/>
    </format>
    <format dxfId="291">
      <pivotArea field="0" type="button" dataOnly="0" labelOnly="1" outline="0" axis="axisRow" fieldPosition="0"/>
    </format>
    <format dxfId="290">
      <pivotArea dataOnly="0" labelOnly="1" fieldPosition="0">
        <references count="1">
          <reference field="0" count="0"/>
        </references>
      </pivotArea>
    </format>
    <format dxfId="289">
      <pivotArea dataOnly="0" labelOnly="1" grandRow="1" outline="0" fieldPosition="0"/>
    </format>
    <format dxfId="288">
      <pivotArea dataOnly="0" labelOnly="1" outline="0" axis="axisValues" fieldPosition="0"/>
    </format>
    <format dxfId="287">
      <pivotArea type="all" dataOnly="0" outline="0" fieldPosition="0"/>
    </format>
    <format dxfId="286">
      <pivotArea outline="0" collapsedLevelsAreSubtotals="1" fieldPosition="0"/>
    </format>
    <format dxfId="285">
      <pivotArea field="0" type="button" dataOnly="0" labelOnly="1" outline="0" axis="axisRow" fieldPosition="0"/>
    </format>
    <format dxfId="284">
      <pivotArea dataOnly="0" labelOnly="1" fieldPosition="0">
        <references count="1">
          <reference field="0" count="0"/>
        </references>
      </pivotArea>
    </format>
    <format dxfId="283">
      <pivotArea dataOnly="0" labelOnly="1" grandRow="1" outline="0" fieldPosition="0"/>
    </format>
    <format dxfId="282">
      <pivotArea dataOnly="0" labelOnly="1" outline="0" axis="axisValues" fieldPosition="0"/>
    </format>
    <format dxfId="281">
      <pivotArea type="all" dataOnly="0" outline="0" fieldPosition="0"/>
    </format>
    <format dxfId="280">
      <pivotArea outline="0" collapsedLevelsAreSubtotals="1" fieldPosition="0"/>
    </format>
    <format dxfId="279">
      <pivotArea field="0" type="button" dataOnly="0" labelOnly="1" outline="0" axis="axisRow" fieldPosition="0"/>
    </format>
    <format dxfId="278">
      <pivotArea dataOnly="0" labelOnly="1" fieldPosition="0">
        <references count="1">
          <reference field="0" count="0"/>
        </references>
      </pivotArea>
    </format>
    <format dxfId="277">
      <pivotArea dataOnly="0" labelOnly="1" grandRow="1" outline="0" fieldPosition="0"/>
    </format>
    <format dxfId="276">
      <pivotArea dataOnly="0" labelOnly="1" outline="0" axis="axisValues" fieldPosition="0"/>
    </format>
    <format dxfId="273">
      <pivotArea dataOnly="0" labelOnly="1" fieldPosition="0">
        <references count="1">
          <reference field="0"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19" format="5">
      <pivotArea type="data" outline="0" fieldPosition="0">
        <references count="2">
          <reference field="4294967294" count="1" selected="0">
            <x v="0"/>
          </reference>
          <reference field="0" count="1" selected="0">
            <x v="0"/>
          </reference>
        </references>
      </pivotArea>
    </chartFormat>
    <chartFormat chart="19" format="6">
      <pivotArea type="data" outline="0" fieldPosition="0">
        <references count="2">
          <reference field="4294967294" count="1" selected="0">
            <x v="0"/>
          </reference>
          <reference field="0" count="1" selected="0">
            <x v="1"/>
          </reference>
        </references>
      </pivotArea>
    </chartFormat>
  </chartFormats>
  <pivotHierarchies count="13">
    <pivotHierarchy dragToData="1"/>
    <pivotHierarchy dragToData="1"/>
    <pivotHierarchy multipleItemSelectionAllowed="1" dragToData="1">
      <members count="1" level="1">
        <member name="[Form_Responses3].[AGE].&amp;[7]"/>
      </members>
    </pivotHierarch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OVERALL RESPONSE.xlsx!Form_Responses3">
        <x15:activeTabTopLevelEntity name="[Form_Responses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F4BFD4-6529-4469-B5BA-C9A034B26F6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R4:S50" firstHeaderRow="1" firstDataRow="1" firstDataCol="1"/>
  <pivotFields count="10">
    <pivotField showAll="0"/>
    <pivotField numFmtId="14" showAll="0"/>
    <pivotField dataField="1" numFmtId="1" showAll="0">
      <items count="26">
        <item x="13"/>
        <item x="14"/>
        <item x="4"/>
        <item x="15"/>
        <item x="16"/>
        <item x="0"/>
        <item x="1"/>
        <item x="2"/>
        <item x="3"/>
        <item x="5"/>
        <item x="6"/>
        <item x="8"/>
        <item x="7"/>
        <item x="12"/>
        <item x="17"/>
        <item x="21"/>
        <item x="9"/>
        <item x="18"/>
        <item x="24"/>
        <item x="20"/>
        <item x="10"/>
        <item x="22"/>
        <item x="11"/>
        <item x="23"/>
        <item x="19"/>
        <item t="default"/>
      </items>
    </pivotField>
    <pivotField showAll="0"/>
    <pivotField axis="axisRow" showAll="0">
      <items count="4">
        <item x="1"/>
        <item h="1" x="2"/>
        <item h="1" x="0"/>
        <item t="default"/>
      </items>
    </pivotField>
    <pivotField axis="axisRow" showAll="0">
      <items count="15">
        <item x="5"/>
        <item x="3"/>
        <item x="11"/>
        <item x="2"/>
        <item x="13"/>
        <item x="4"/>
        <item x="10"/>
        <item x="12"/>
        <item x="8"/>
        <item x="9"/>
        <item x="6"/>
        <item x="1"/>
        <item x="7"/>
        <item x="0"/>
        <item t="default"/>
      </items>
    </pivotField>
    <pivotField showAll="0"/>
    <pivotField axis="axisRow" showAll="0">
      <items count="4">
        <item x="2"/>
        <item x="0"/>
        <item x="1"/>
        <item t="default"/>
      </items>
    </pivotField>
    <pivotField showAll="0"/>
    <pivotField showAll="0"/>
  </pivotFields>
  <rowFields count="3">
    <field x="4"/>
    <field x="5"/>
    <field x="7"/>
  </rowFields>
  <rowItems count="46">
    <i>
      <x/>
    </i>
    <i r="1">
      <x/>
    </i>
    <i r="2">
      <x/>
    </i>
    <i r="2">
      <x v="1"/>
    </i>
    <i r="2">
      <x v="2"/>
    </i>
    <i r="1">
      <x v="1"/>
    </i>
    <i r="2">
      <x/>
    </i>
    <i r="2">
      <x v="1"/>
    </i>
    <i r="2">
      <x v="2"/>
    </i>
    <i r="1">
      <x v="3"/>
    </i>
    <i r="2">
      <x/>
    </i>
    <i r="2">
      <x v="1"/>
    </i>
    <i r="2">
      <x v="2"/>
    </i>
    <i r="1">
      <x v="5"/>
    </i>
    <i r="2">
      <x/>
    </i>
    <i r="2">
      <x v="1"/>
    </i>
    <i r="2">
      <x v="2"/>
    </i>
    <i r="1">
      <x v="6"/>
    </i>
    <i r="2">
      <x/>
    </i>
    <i r="2">
      <x v="1"/>
    </i>
    <i r="2">
      <x v="2"/>
    </i>
    <i r="1">
      <x v="8"/>
    </i>
    <i r="2">
      <x/>
    </i>
    <i r="2">
      <x v="1"/>
    </i>
    <i r="2">
      <x v="2"/>
    </i>
    <i r="1">
      <x v="9"/>
    </i>
    <i r="2">
      <x/>
    </i>
    <i r="2">
      <x v="1"/>
    </i>
    <i r="2">
      <x v="2"/>
    </i>
    <i r="1">
      <x v="10"/>
    </i>
    <i r="2">
      <x/>
    </i>
    <i r="2">
      <x v="1"/>
    </i>
    <i r="2">
      <x v="2"/>
    </i>
    <i r="1">
      <x v="11"/>
    </i>
    <i r="2">
      <x/>
    </i>
    <i r="2">
      <x v="1"/>
    </i>
    <i r="2">
      <x v="2"/>
    </i>
    <i r="1">
      <x v="12"/>
    </i>
    <i r="2">
      <x/>
    </i>
    <i r="2">
      <x v="1"/>
    </i>
    <i r="2">
      <x v="2"/>
    </i>
    <i r="1">
      <x v="13"/>
    </i>
    <i r="2">
      <x/>
    </i>
    <i r="2">
      <x v="1"/>
    </i>
    <i r="2">
      <x v="2"/>
    </i>
    <i t="grand">
      <x/>
    </i>
  </rowItems>
  <colItems count="1">
    <i/>
  </colItems>
  <dataFields count="1">
    <dataField name="Sum of AGE" fld="2" baseField="0" baseItem="0" numFmtId="1"/>
  </dataFields>
  <chartFormats count="7">
    <chartFormat chart="0"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0" format="6">
      <pivotArea type="data" outline="0" fieldPosition="0">
        <references count="4">
          <reference field="4294967294" count="1" selected="0">
            <x v="0"/>
          </reference>
          <reference field="4" count="1" selected="0">
            <x v="2"/>
          </reference>
          <reference field="5" count="1" selected="0">
            <x v="8"/>
          </reference>
          <reference field="7" count="1" selected="0">
            <x v="1"/>
          </reference>
        </references>
      </pivotArea>
    </chartFormat>
    <chartFormat chart="20" format="7">
      <pivotArea type="data" outline="0" fieldPosition="0">
        <references count="4">
          <reference field="4294967294" count="1" selected="0">
            <x v="0"/>
          </reference>
          <reference field="4" count="1" selected="0">
            <x v="2"/>
          </reference>
          <reference field="5" count="1" selected="0">
            <x v="12"/>
          </reference>
          <reference field="7" count="1" selected="0">
            <x v="1"/>
          </reference>
        </references>
      </pivotArea>
    </chartFormat>
    <chartFormat chart="20" format="8">
      <pivotArea type="data" outline="0" fieldPosition="0">
        <references count="4">
          <reference field="4294967294" count="1" selected="0">
            <x v="0"/>
          </reference>
          <reference field="4" count="1" selected="0">
            <x v="2"/>
          </reference>
          <reference field="5" count="1" selected="0">
            <x v="13"/>
          </reference>
          <reference field="7" count="1" selected="0">
            <x v="1"/>
          </reference>
        </references>
      </pivotArea>
    </chartFormat>
    <chartFormat chart="25"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5C8B49D0-6B16-47F5-A434-696F0E537470}" sourceName="[Form_Responses3].[AGE]">
  <pivotTables>
    <pivotTable tabId="11" name="PivotTable2"/>
  </pivotTables>
  <data>
    <olap pivotCacheId="510818459">
      <levels count="2">
        <level uniqueName="[Form_Responses3].[AGE].[(All)]" sourceCaption="(All)" count="0"/>
        <level uniqueName="[Form_Responses3].[AGE].[AGE]" sourceCaption="AGE" count="25">
          <ranges>
            <range startItem="0">
              <i n="[Form_Responses3].[AGE].&amp;[5]" c="5"/>
              <i n="[Form_Responses3].[AGE].&amp;[6]" c="6"/>
              <i n="[Form_Responses3].[AGE].&amp;[7]" c="7"/>
              <i n="[Form_Responses3].[AGE].&amp;[8]" c="8"/>
              <i n="[Form_Responses3].[AGE].&amp;[9]" c="9"/>
              <i n="[Form_Responses3].[AGE].&amp;[10]" c="10"/>
              <i n="[Form_Responses3].[AGE].&amp;[11]" c="11"/>
              <i n="[Form_Responses3].[AGE].&amp;[12]" c="12"/>
              <i n="[Form_Responses3].[AGE].&amp;[13]" c="13"/>
              <i n="[Form_Responses3].[AGE].&amp;[14]" c="14"/>
              <i n="[Form_Responses3].[AGE].&amp;[15]" c="15"/>
              <i n="[Form_Responses3].[AGE].&amp;[16]" c="16"/>
              <i n="[Form_Responses3].[AGE].&amp;[17]" c="17"/>
              <i n="[Form_Responses3].[AGE].&amp;[18]" c="18"/>
              <i n="[Form_Responses3].[AGE].&amp;[19]" c="19"/>
              <i n="[Form_Responses3].[AGE].&amp;[20]" c="20"/>
              <i n="[Form_Responses3].[AGE].&amp;[21]" c="21"/>
              <i n="[Form_Responses3].[AGE].&amp;[22]" c="22"/>
              <i n="[Form_Responses3].[AGE].&amp;[23]" c="23"/>
              <i n="[Form_Responses3].[AGE].&amp;[24]" c="24"/>
              <i n="[Form_Responses3].[AGE].&amp;[25]" c="25"/>
              <i n="[Form_Responses3].[AGE].&amp;[27]" c="27"/>
              <i n="[Form_Responses3].[AGE].&amp;[28]" c="28"/>
              <i n="[Form_Responses3].[AGE].&amp;[36]" c="36"/>
              <i n="[Form_Responses3].[AGE].&amp;[38]" c="38"/>
            </range>
          </ranges>
        </level>
      </levels>
      <selections count="1">
        <selection n="[Form_Responses3].[AGE].&amp;[7]"/>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ALS" xr10:uid="{C501BE9D-CF56-4C00-AB9B-909BF08F598C}" sourceName="MEDALS">
  <pivotTables>
    <pivotTable tabId="11" name="PivotTable4"/>
  </pivotTables>
  <data>
    <tabular pivotCacheId="384375351">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1" xr10:uid="{D72F8A80-B37B-4CA3-9747-FDDF1B2D7A70}" sourceName="AGE">
  <pivotTables>
    <pivotTable tabId="11" name="PivotTable4"/>
  </pivotTables>
  <data>
    <tabular pivotCacheId="384375351">
      <items count="25">
        <i x="13" s="1"/>
        <i x="14" s="1"/>
        <i x="4" s="1"/>
        <i x="15" s="1"/>
        <i x="16" s="1"/>
        <i x="0" s="1"/>
        <i x="1" s="1"/>
        <i x="2" s="1"/>
        <i x="3" s="1"/>
        <i x="5" s="1"/>
        <i x="6" s="1"/>
        <i x="8" s="1"/>
        <i x="7" s="1"/>
        <i x="12" s="1"/>
        <i x="17" s="1"/>
        <i x="21" s="1"/>
        <i x="9" s="1"/>
        <i x="18" s="1"/>
        <i x="24" s="1"/>
        <i x="20" s="1"/>
        <i x="10" s="1"/>
        <i x="19" s="1"/>
        <i x="22" s="1" nd="1"/>
        <i x="11" s="1" nd="1"/>
        <i x="2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LT" xr10:uid="{471D4AAC-0AC6-4F79-B286-385627890C58}" sourceName="BELT">
  <pivotTables>
    <pivotTable tabId="11" name="PivotTable4"/>
  </pivotTables>
  <data>
    <tabular pivotCacheId="384375351">
      <items count="14">
        <i x="5" s="1"/>
        <i x="3" s="1"/>
        <i x="2" s="1"/>
        <i x="4" s="1"/>
        <i x="10" s="1"/>
        <i x="8" s="1"/>
        <i x="9" s="1"/>
        <i x="6" s="1"/>
        <i x="1" s="1"/>
        <i x="7" s="1"/>
        <i x="0" s="1"/>
        <i x="11" s="1" nd="1"/>
        <i x="13" s="1" nd="1"/>
        <i x="1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27A84E40-36A7-4D1F-B1E9-6FB0CCFAC384}" cache="Slicer_AGE" caption="AGE" level="1" style="SlicerStyleLight1" rowHeight="220133"/>
  <slicer name="MEDALS 1" xr10:uid="{65A1F5C7-E584-45B6-9F9F-40704CA0BB76}" cache="Slicer_MEDALS" caption="MEDALS" style="SlicerStyleLight1" rowHeight="220133"/>
  <slicer name="AGE 1" xr10:uid="{D26F6F49-73BA-44F5-ADDF-4B8509410301}" cache="Slicer_AGE1" caption="AGE" startItem="7" style="SlicerStyleLight1" rowHeight="220133"/>
  <slicer name="BELT 1" xr10:uid="{D051326D-7B3D-4578-B149-91E65B7A0305}" cache="Slicer_BELT" caption="BELT" style="SlicerStyleLight1" rowHeight="22013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3" xr10:uid="{D08457A7-3C3F-4904-A7A7-A70B990E7914}" cache="Slicer_AGE" caption="AGE" startItem="2" level="1" rowHeight="220133"/>
  <slicer name="AGE 2" xr10:uid="{1994A21E-600C-4025-95FF-98164D92F56D}" cache="Slicer_AGE1" caption="AGE" columnCount="13" style="SlicerStyleDark5" rowHeight="220133"/>
  <slicer name="BELT 2" xr10:uid="{E3FEB4F6-C7B5-4F17-8E77-702E8A329981}" cache="Slicer_BELT" caption="BELT" style="SlicerStyleLight1" rowHeight="220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B1:J521" headerRowDxfId="322" dataDxfId="320" totalsRowDxfId="318" headerRowBorderDxfId="321" tableBorderDxfId="319">
  <autoFilter ref="B1:J521" xr:uid="{00000000-000C-0000-FFFF-FFFF00000000}"/>
  <tableColumns count="9">
    <tableColumn id="3" xr3:uid="{00000000-0010-0000-0000-000003000000}" name="NAME" dataDxfId="317" dataCellStyle="Normal"/>
    <tableColumn id="4" xr3:uid="{00000000-0010-0000-0000-000004000000}" name="DATE OF BIRTH" dataDxfId="316"/>
    <tableColumn id="5" xr3:uid="{00000000-0010-0000-0000-000005000000}" name="WEIGHT(in kg)" dataDxfId="315"/>
    <tableColumn id="6" xr3:uid="{00000000-0010-0000-0000-000006000000}" name="GENDER" dataDxfId="314"/>
    <tableColumn id="7" xr3:uid="{00000000-0010-0000-0000-000007000000}" name="BELT" dataDxfId="313"/>
    <tableColumn id="8" xr3:uid="{00000000-0010-0000-0000-000008000000}" name="EVENTS" dataDxfId="312"/>
    <tableColumn id="12" xr3:uid="{582A8AB8-4BB7-43E5-AC7F-5614AB5C517B}" name="MEDALS" dataDxfId="311"/>
    <tableColumn id="9" xr3:uid="{00000000-0010-0000-0000-000009000000}" name="INSTRUCTOR NAME" dataDxfId="310"/>
    <tableColumn id="10" xr3:uid="{00000000-0010-0000-0000-00000A000000}" name="DOJO NAME" dataDxfId="309"/>
  </tableColumns>
  <tableStyleInfo name="Form Responses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062BFE-419D-4B96-AF1C-13D6E44B0319}" name="Form_Responses3" displayName="Form_Responses3" ref="B1:K521" headerRowDxfId="308" dataDxfId="306" totalsRowDxfId="304" headerRowBorderDxfId="307" tableBorderDxfId="305">
  <autoFilter ref="B1:K521" xr:uid="{00000000-000C-0000-FFFF-FFFF00000000}"/>
  <tableColumns count="10">
    <tableColumn id="3" xr3:uid="{C28A61E9-213E-47D1-9054-D86E544DFF7A}" name="NAME" dataDxfId="303" dataCellStyle="Normal"/>
    <tableColumn id="4" xr3:uid="{4AAC2C7E-A179-4E91-823F-50B978C56276}" name="DATE OF BIRTH" dataDxfId="302"/>
    <tableColumn id="1" xr3:uid="{B3422E68-2A9E-478A-8603-0BFAE835386A}" name="AGE" dataDxfId="301">
      <calculatedColumnFormula>DATEDIF(C2, TODAY(), "Y")</calculatedColumnFormula>
    </tableColumn>
    <tableColumn id="5" xr3:uid="{81AE7E50-AA40-4ECD-BE3F-30B21C8EDC5E}" name="WEIGHT(in kg)" dataDxfId="300"/>
    <tableColumn id="6" xr3:uid="{BDA5AFAA-116D-49F9-84D9-108D1878312D}" name="GENDER" dataDxfId="299"/>
    <tableColumn id="7" xr3:uid="{7E7FBE7D-A287-4DD1-AF61-DA651BF68F71}" name="BELT" dataDxfId="298"/>
    <tableColumn id="8" xr3:uid="{9248CE6A-3E9F-4BD1-9F77-7D048D09916C}" name="EVENTS" dataDxfId="297"/>
    <tableColumn id="12" xr3:uid="{AF03E2FB-2B18-442A-84DE-ACB8BBE277F3}" name="MEDALS" dataDxfId="296"/>
    <tableColumn id="9" xr3:uid="{31646618-8AE4-4F7B-B652-DDF0F3769E4C}" name="INSTRUCTOR NAME" dataDxfId="295"/>
    <tableColumn id="10" xr3:uid="{87C22016-CF97-4764-B2B5-3C00B41471EB}" name="DOJO NAME" dataDxfId="294"/>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I535"/>
  <sheetViews>
    <sheetView topLeftCell="A2" zoomScale="85" zoomScaleNormal="100" workbookViewId="0">
      <selection activeCell="B2" sqref="B2:J521"/>
    </sheetView>
  </sheetViews>
  <sheetFormatPr defaultColWidth="12.6328125" defaultRowHeight="15.75" customHeight="1" x14ac:dyDescent="0.25"/>
  <cols>
    <col min="1" max="1" width="12" style="9" bestFit="1" customWidth="1"/>
    <col min="2" max="2" width="27.90625" bestFit="1" customWidth="1"/>
    <col min="3" max="3" width="19.36328125" style="9" bestFit="1" customWidth="1"/>
    <col min="4" max="4" width="18.1796875" style="11" bestFit="1" customWidth="1"/>
    <col min="5" max="5" width="13" style="15" bestFit="1" customWidth="1"/>
    <col min="6" max="6" width="14" style="9" bestFit="1" customWidth="1"/>
    <col min="7" max="7" width="12.54296875" style="9" bestFit="1" customWidth="1"/>
    <col min="8" max="8" width="12.54296875" style="9" customWidth="1"/>
    <col min="9" max="9" width="27.26953125" bestFit="1" customWidth="1"/>
    <col min="10" max="10" width="22.1796875" bestFit="1" customWidth="1"/>
    <col min="11" max="11" width="32.54296875" style="7" bestFit="1" customWidth="1"/>
    <col min="12" max="12" width="21.90625" style="7" customWidth="1"/>
    <col min="13" max="13" width="30.453125" style="9" customWidth="1"/>
    <col min="14" max="14" width="19.90625" style="7" customWidth="1"/>
    <col min="15" max="15" width="27.6328125" style="7" customWidth="1"/>
    <col min="16" max="35" width="18.90625" customWidth="1"/>
  </cols>
  <sheetData>
    <row r="1" spans="1:30" s="23" customFormat="1" ht="22.5" customHeight="1" x14ac:dyDescent="0.3">
      <c r="A1" s="20" t="s">
        <v>561</v>
      </c>
      <c r="B1" s="35" t="s">
        <v>0</v>
      </c>
      <c r="C1" s="26" t="s">
        <v>1</v>
      </c>
      <c r="D1" s="21" t="s">
        <v>2</v>
      </c>
      <c r="E1" s="21" t="s">
        <v>3</v>
      </c>
      <c r="F1" s="21" t="s">
        <v>4</v>
      </c>
      <c r="G1" s="21" t="s">
        <v>5</v>
      </c>
      <c r="H1" s="22" t="s">
        <v>619</v>
      </c>
      <c r="I1" s="22" t="s">
        <v>6</v>
      </c>
      <c r="J1" s="34" t="s">
        <v>7</v>
      </c>
      <c r="M1" s="23" t="s">
        <v>8</v>
      </c>
      <c r="N1" s="23" t="s">
        <v>9</v>
      </c>
      <c r="O1" s="23" t="s">
        <v>10</v>
      </c>
      <c r="Q1" s="23" t="s">
        <v>11</v>
      </c>
      <c r="R1" s="23" t="s">
        <v>12</v>
      </c>
      <c r="S1" s="23" t="s">
        <v>13</v>
      </c>
      <c r="T1" s="23" t="s">
        <v>14</v>
      </c>
      <c r="U1" s="23" t="s">
        <v>12</v>
      </c>
      <c r="W1" s="23" t="s">
        <v>12</v>
      </c>
      <c r="X1" s="23" t="s">
        <v>15</v>
      </c>
      <c r="Z1" s="23" t="s">
        <v>16</v>
      </c>
      <c r="AA1" s="23" t="s">
        <v>12</v>
      </c>
      <c r="AD1" s="23" t="s">
        <v>17</v>
      </c>
    </row>
    <row r="2" spans="1:30" ht="22.5" customHeight="1" x14ac:dyDescent="0.25">
      <c r="A2" s="8">
        <v>1</v>
      </c>
      <c r="B2" s="24" t="s">
        <v>447</v>
      </c>
      <c r="C2" s="27">
        <v>42334</v>
      </c>
      <c r="D2" s="4">
        <v>34</v>
      </c>
      <c r="E2" s="4" t="s">
        <v>25</v>
      </c>
      <c r="F2" s="4" t="s">
        <v>42</v>
      </c>
      <c r="G2" s="4" t="s">
        <v>21</v>
      </c>
      <c r="H2" s="44" t="s">
        <v>620</v>
      </c>
      <c r="I2" s="5" t="s">
        <v>441</v>
      </c>
      <c r="J2" s="36" t="s">
        <v>442</v>
      </c>
      <c r="K2" s="2"/>
      <c r="L2" s="2"/>
      <c r="M2" s="2"/>
      <c r="N2" s="2"/>
      <c r="O2" s="2"/>
      <c r="P2" s="2"/>
      <c r="Q2" s="2"/>
      <c r="R2" s="3"/>
      <c r="S2" s="2"/>
      <c r="T2" s="2"/>
      <c r="U2" s="2"/>
      <c r="V2" s="2"/>
      <c r="W2" s="2"/>
      <c r="X2" s="2"/>
      <c r="Y2" s="2"/>
      <c r="Z2" s="2"/>
      <c r="AA2" s="2"/>
      <c r="AB2" s="2"/>
      <c r="AC2" s="2"/>
      <c r="AD2" s="2"/>
    </row>
    <row r="3" spans="1:30" ht="22.5" customHeight="1" x14ac:dyDescent="0.25">
      <c r="A3" s="8">
        <f t="shared" ref="A3:A66" si="0">A2+1</f>
        <v>2</v>
      </c>
      <c r="B3" s="24" t="s">
        <v>446</v>
      </c>
      <c r="C3" s="27">
        <v>41940</v>
      </c>
      <c r="D3" s="4">
        <v>44</v>
      </c>
      <c r="E3" s="4" t="s">
        <v>25</v>
      </c>
      <c r="F3" s="4" t="s">
        <v>28</v>
      </c>
      <c r="G3" s="4" t="s">
        <v>21</v>
      </c>
      <c r="H3" s="44" t="s">
        <v>621</v>
      </c>
      <c r="I3" s="5" t="s">
        <v>441</v>
      </c>
      <c r="J3" s="37" t="s">
        <v>442</v>
      </c>
      <c r="K3" s="2"/>
      <c r="L3" s="2"/>
      <c r="M3" s="2"/>
      <c r="N3" s="2"/>
      <c r="O3" s="2"/>
      <c r="P3" s="2"/>
      <c r="Q3" s="2"/>
      <c r="R3" s="3"/>
      <c r="S3" s="2"/>
      <c r="T3" s="2"/>
      <c r="U3" s="2"/>
      <c r="V3" s="2"/>
      <c r="W3" s="2"/>
      <c r="X3" s="2"/>
      <c r="Y3" s="2"/>
      <c r="Z3" s="2"/>
      <c r="AA3" s="2"/>
      <c r="AB3" s="2"/>
      <c r="AC3" s="2"/>
      <c r="AD3" s="2"/>
    </row>
    <row r="4" spans="1:30" ht="22.5" customHeight="1" x14ac:dyDescent="0.25">
      <c r="A4" s="8">
        <f t="shared" si="0"/>
        <v>3</v>
      </c>
      <c r="B4" s="24" t="s">
        <v>448</v>
      </c>
      <c r="C4" s="27">
        <v>41456</v>
      </c>
      <c r="D4" s="4">
        <v>56</v>
      </c>
      <c r="E4" s="4" t="s">
        <v>25</v>
      </c>
      <c r="F4" s="4" t="s">
        <v>42</v>
      </c>
      <c r="G4" s="4" t="s">
        <v>21</v>
      </c>
      <c r="H4" s="44" t="s">
        <v>621</v>
      </c>
      <c r="I4" s="5" t="s">
        <v>441</v>
      </c>
      <c r="J4" s="36" t="s">
        <v>442</v>
      </c>
      <c r="K4" s="2"/>
      <c r="L4" s="2"/>
      <c r="M4" s="2"/>
      <c r="N4" s="2"/>
      <c r="O4" s="2"/>
      <c r="P4" s="2"/>
      <c r="Q4" s="2"/>
      <c r="R4" s="3"/>
      <c r="S4" s="2"/>
      <c r="T4" s="2"/>
      <c r="U4" s="2"/>
      <c r="V4" s="2"/>
      <c r="W4" s="2"/>
      <c r="X4" s="2"/>
      <c r="Y4" s="2"/>
      <c r="Z4" s="2"/>
      <c r="AA4" s="2"/>
      <c r="AB4" s="2"/>
      <c r="AC4" s="2"/>
      <c r="AD4" s="2"/>
    </row>
    <row r="5" spans="1:30" ht="22.5" customHeight="1" x14ac:dyDescent="0.25">
      <c r="A5" s="8">
        <f t="shared" si="0"/>
        <v>4</v>
      </c>
      <c r="B5" s="24" t="s">
        <v>440</v>
      </c>
      <c r="C5" s="27">
        <v>41233</v>
      </c>
      <c r="D5" s="4">
        <v>46</v>
      </c>
      <c r="E5" s="4" t="s">
        <v>25</v>
      </c>
      <c r="F5" s="4" t="s">
        <v>42</v>
      </c>
      <c r="G5" s="4" t="s">
        <v>21</v>
      </c>
      <c r="H5" s="44" t="s">
        <v>620</v>
      </c>
      <c r="I5" s="5" t="s">
        <v>441</v>
      </c>
      <c r="J5" s="36" t="s">
        <v>442</v>
      </c>
      <c r="K5" s="2"/>
      <c r="L5" s="2"/>
      <c r="M5" s="2"/>
      <c r="N5" s="2"/>
      <c r="O5" s="2"/>
      <c r="P5" s="2"/>
      <c r="Q5" s="2"/>
      <c r="R5" s="3"/>
      <c r="S5" s="2"/>
      <c r="T5" s="2"/>
      <c r="U5" s="2"/>
      <c r="V5" s="2"/>
      <c r="W5" s="2"/>
      <c r="X5" s="2"/>
      <c r="Y5" s="2"/>
      <c r="Z5" s="2"/>
      <c r="AA5" s="2"/>
      <c r="AB5" s="2"/>
      <c r="AC5" s="2"/>
      <c r="AD5" s="2"/>
    </row>
    <row r="6" spans="1:30" ht="22.5" customHeight="1" x14ac:dyDescent="0.25">
      <c r="A6" s="8">
        <f t="shared" si="0"/>
        <v>5</v>
      </c>
      <c r="B6" s="24" t="s">
        <v>278</v>
      </c>
      <c r="C6" s="27">
        <v>43515</v>
      </c>
      <c r="D6" s="4">
        <v>20</v>
      </c>
      <c r="E6" s="4" t="s">
        <v>25</v>
      </c>
      <c r="F6" s="4" t="s">
        <v>28</v>
      </c>
      <c r="G6" s="4" t="s">
        <v>21</v>
      </c>
      <c r="H6" s="44" t="s">
        <v>622</v>
      </c>
      <c r="I6" s="5" t="s">
        <v>117</v>
      </c>
      <c r="J6" s="36" t="s">
        <v>118</v>
      </c>
      <c r="K6" s="2"/>
      <c r="L6" s="2"/>
      <c r="M6" s="2"/>
      <c r="N6" s="2"/>
      <c r="O6" s="2"/>
      <c r="P6" s="2"/>
      <c r="Q6" s="2"/>
      <c r="R6" s="3"/>
      <c r="S6" s="2"/>
      <c r="T6" s="2"/>
      <c r="U6" s="2"/>
      <c r="V6" s="2"/>
      <c r="W6" s="2"/>
      <c r="X6" s="2"/>
      <c r="Y6" s="2"/>
      <c r="Z6" s="2"/>
      <c r="AA6" s="2"/>
      <c r="AB6" s="2"/>
      <c r="AC6" s="2"/>
      <c r="AD6" s="2"/>
    </row>
    <row r="7" spans="1:30" ht="22.5" customHeight="1" x14ac:dyDescent="0.25">
      <c r="A7" s="8">
        <f t="shared" si="0"/>
        <v>6</v>
      </c>
      <c r="B7" s="24" t="s">
        <v>194</v>
      </c>
      <c r="C7" s="27">
        <v>41785</v>
      </c>
      <c r="D7" s="4">
        <v>47</v>
      </c>
      <c r="E7" s="4" t="s">
        <v>25</v>
      </c>
      <c r="F7" s="4" t="s">
        <v>37</v>
      </c>
      <c r="G7" s="4" t="s">
        <v>21</v>
      </c>
      <c r="H7" s="44" t="s">
        <v>621</v>
      </c>
      <c r="I7" s="5" t="s">
        <v>117</v>
      </c>
      <c r="J7" s="36" t="s">
        <v>118</v>
      </c>
      <c r="K7" s="2"/>
      <c r="L7" s="2"/>
      <c r="M7" s="2"/>
      <c r="N7" s="2"/>
      <c r="O7" s="2"/>
      <c r="P7" s="2"/>
      <c r="Q7" s="2"/>
      <c r="R7" s="3"/>
      <c r="S7" s="2"/>
      <c r="T7" s="2"/>
      <c r="U7" s="2"/>
      <c r="V7" s="2"/>
      <c r="W7" s="2"/>
      <c r="X7" s="2"/>
      <c r="Y7" s="2"/>
      <c r="Z7" s="2"/>
      <c r="AA7" s="2"/>
      <c r="AB7" s="2"/>
      <c r="AC7" s="2"/>
      <c r="AD7" s="2"/>
    </row>
    <row r="8" spans="1:30" ht="22.5" customHeight="1" x14ac:dyDescent="0.25">
      <c r="A8" s="8">
        <f t="shared" si="0"/>
        <v>7</v>
      </c>
      <c r="B8" s="24" t="s">
        <v>228</v>
      </c>
      <c r="C8" s="27">
        <v>41865</v>
      </c>
      <c r="D8" s="4">
        <v>31</v>
      </c>
      <c r="E8" s="4" t="s">
        <v>19</v>
      </c>
      <c r="F8" s="4" t="s">
        <v>61</v>
      </c>
      <c r="G8" s="4" t="s">
        <v>21</v>
      </c>
      <c r="H8" s="44" t="s">
        <v>622</v>
      </c>
      <c r="I8" s="5" t="s">
        <v>117</v>
      </c>
      <c r="J8" s="36" t="s">
        <v>118</v>
      </c>
      <c r="K8" s="2"/>
      <c r="L8" s="2"/>
      <c r="M8" s="2"/>
      <c r="N8" s="2"/>
      <c r="O8" s="2"/>
      <c r="P8" s="2"/>
      <c r="Q8" s="2"/>
      <c r="R8" s="3"/>
      <c r="S8" s="2"/>
      <c r="T8" s="2"/>
      <c r="U8" s="2"/>
      <c r="V8" s="2"/>
      <c r="W8" s="2"/>
      <c r="X8" s="2"/>
      <c r="Y8" s="2"/>
      <c r="Z8" s="2"/>
      <c r="AA8" s="2"/>
      <c r="AB8" s="2"/>
      <c r="AC8" s="2"/>
      <c r="AD8" s="2"/>
    </row>
    <row r="9" spans="1:30" ht="22.5" customHeight="1" x14ac:dyDescent="0.25">
      <c r="A9" s="8">
        <f t="shared" si="0"/>
        <v>8</v>
      </c>
      <c r="B9" s="24" t="s">
        <v>241</v>
      </c>
      <c r="C9" s="27">
        <v>41682</v>
      </c>
      <c r="D9" s="4">
        <v>50</v>
      </c>
      <c r="E9" s="4" t="s">
        <v>19</v>
      </c>
      <c r="F9" s="4" t="s">
        <v>86</v>
      </c>
      <c r="G9" s="4" t="s">
        <v>21</v>
      </c>
      <c r="H9" s="44" t="s">
        <v>622</v>
      </c>
      <c r="I9" s="5" t="s">
        <v>117</v>
      </c>
      <c r="J9" s="36" t="s">
        <v>118</v>
      </c>
      <c r="K9" s="2"/>
      <c r="L9" s="2"/>
      <c r="M9" s="2"/>
      <c r="N9" s="2"/>
      <c r="O9" s="2"/>
      <c r="P9" s="2"/>
      <c r="Q9" s="2"/>
      <c r="R9" s="3"/>
      <c r="S9" s="2"/>
      <c r="T9" s="2"/>
      <c r="U9" s="2"/>
      <c r="V9" s="2"/>
      <c r="W9" s="2"/>
      <c r="X9" s="2"/>
      <c r="Y9" s="2"/>
      <c r="Z9" s="2"/>
      <c r="AA9" s="2"/>
      <c r="AB9" s="2"/>
      <c r="AC9" s="2"/>
      <c r="AD9" s="2"/>
    </row>
    <row r="10" spans="1:30" ht="22.5" customHeight="1" x14ac:dyDescent="0.25">
      <c r="A10" s="8">
        <f t="shared" si="0"/>
        <v>9</v>
      </c>
      <c r="B10" s="24" t="s">
        <v>430</v>
      </c>
      <c r="C10" s="27">
        <v>40907</v>
      </c>
      <c r="D10" s="4">
        <v>32</v>
      </c>
      <c r="E10" s="4" t="s">
        <v>25</v>
      </c>
      <c r="F10" s="4" t="s">
        <v>26</v>
      </c>
      <c r="G10" s="4" t="s">
        <v>21</v>
      </c>
      <c r="H10" s="44" t="s">
        <v>620</v>
      </c>
      <c r="I10" s="5" t="s">
        <v>117</v>
      </c>
      <c r="J10" s="36" t="s">
        <v>118</v>
      </c>
      <c r="K10" s="2"/>
      <c r="L10" s="2"/>
      <c r="M10" s="2"/>
      <c r="N10" s="2"/>
      <c r="O10" s="2"/>
      <c r="P10" s="2"/>
      <c r="Q10" s="2"/>
      <c r="R10" s="3"/>
      <c r="S10" s="2"/>
      <c r="T10" s="2"/>
      <c r="U10" s="2"/>
      <c r="V10" s="2"/>
      <c r="W10" s="2"/>
      <c r="X10" s="2"/>
      <c r="Y10" s="2"/>
      <c r="Z10" s="2"/>
      <c r="AA10" s="2"/>
      <c r="AB10" s="2"/>
      <c r="AC10" s="2"/>
      <c r="AD10" s="2"/>
    </row>
    <row r="11" spans="1:30" ht="22.5" customHeight="1" x14ac:dyDescent="0.25">
      <c r="A11" s="8">
        <f t="shared" si="0"/>
        <v>10</v>
      </c>
      <c r="B11" s="24" t="s">
        <v>119</v>
      </c>
      <c r="C11" s="27">
        <v>40474</v>
      </c>
      <c r="D11" s="4">
        <v>48</v>
      </c>
      <c r="E11" s="4" t="s">
        <v>25</v>
      </c>
      <c r="F11" s="4" t="s">
        <v>37</v>
      </c>
      <c r="G11" s="4" t="s">
        <v>21</v>
      </c>
      <c r="H11" s="44" t="s">
        <v>620</v>
      </c>
      <c r="I11" s="5" t="s">
        <v>117</v>
      </c>
      <c r="J11" s="36" t="s">
        <v>118</v>
      </c>
      <c r="K11" s="2"/>
      <c r="L11" s="2"/>
      <c r="M11" s="2"/>
      <c r="N11" s="2"/>
      <c r="O11" s="2"/>
      <c r="P11" s="2"/>
      <c r="Q11" s="2"/>
      <c r="R11" s="3"/>
      <c r="S11" s="2"/>
      <c r="T11" s="2"/>
      <c r="U11" s="2"/>
      <c r="V11" s="2"/>
      <c r="W11" s="2"/>
      <c r="X11" s="2"/>
      <c r="Y11" s="2"/>
      <c r="Z11" s="2"/>
      <c r="AA11" s="2"/>
      <c r="AB11" s="2"/>
      <c r="AC11" s="2"/>
      <c r="AD11" s="2"/>
    </row>
    <row r="12" spans="1:30" ht="22.5" customHeight="1" x14ac:dyDescent="0.25">
      <c r="A12" s="8">
        <f t="shared" si="0"/>
        <v>11</v>
      </c>
      <c r="B12" s="24" t="s">
        <v>224</v>
      </c>
      <c r="C12" s="27">
        <v>40448</v>
      </c>
      <c r="D12" s="4">
        <v>67</v>
      </c>
      <c r="E12" s="4" t="s">
        <v>19</v>
      </c>
      <c r="F12" s="4" t="s">
        <v>37</v>
      </c>
      <c r="G12" s="4" t="s">
        <v>21</v>
      </c>
      <c r="H12" s="44" t="s">
        <v>620</v>
      </c>
      <c r="I12" s="5" t="s">
        <v>117</v>
      </c>
      <c r="J12" s="36" t="s">
        <v>118</v>
      </c>
      <c r="K12" s="2"/>
      <c r="L12" s="2"/>
      <c r="M12" s="2"/>
      <c r="N12" s="2"/>
      <c r="O12" s="2"/>
      <c r="P12" s="2"/>
      <c r="Q12" s="2"/>
      <c r="R12" s="3"/>
      <c r="S12" s="2"/>
      <c r="T12" s="2"/>
      <c r="U12" s="2"/>
      <c r="V12" s="2"/>
      <c r="W12" s="2"/>
      <c r="X12" s="2"/>
      <c r="Y12" s="2"/>
      <c r="Z12" s="2"/>
      <c r="AA12" s="2"/>
      <c r="AB12" s="2"/>
      <c r="AC12" s="2"/>
      <c r="AD12" s="2"/>
    </row>
    <row r="13" spans="1:30" ht="22.5" customHeight="1" x14ac:dyDescent="0.25">
      <c r="A13" s="8">
        <f t="shared" si="0"/>
        <v>12</v>
      </c>
      <c r="B13" s="24" t="s">
        <v>116</v>
      </c>
      <c r="C13" s="27">
        <v>39817</v>
      </c>
      <c r="D13" s="4">
        <v>48</v>
      </c>
      <c r="E13" s="4" t="s">
        <v>19</v>
      </c>
      <c r="F13" s="4" t="s">
        <v>32</v>
      </c>
      <c r="G13" s="4" t="s">
        <v>21</v>
      </c>
      <c r="H13" s="44" t="s">
        <v>621</v>
      </c>
      <c r="I13" s="5" t="s">
        <v>117</v>
      </c>
      <c r="J13" s="36" t="s">
        <v>118</v>
      </c>
      <c r="K13" s="2"/>
      <c r="L13" s="2"/>
      <c r="M13" s="2"/>
      <c r="N13" s="2"/>
      <c r="O13" s="2"/>
      <c r="P13" s="2"/>
      <c r="Q13" s="2"/>
      <c r="R13" s="3"/>
      <c r="S13" s="2"/>
      <c r="T13" s="2"/>
      <c r="U13" s="2"/>
      <c r="V13" s="2"/>
      <c r="W13" s="2"/>
      <c r="X13" s="2"/>
      <c r="Y13" s="2"/>
      <c r="Z13" s="2"/>
      <c r="AA13" s="2"/>
      <c r="AB13" s="2"/>
      <c r="AC13" s="2"/>
      <c r="AD13" s="2"/>
    </row>
    <row r="14" spans="1:30" ht="22.5" customHeight="1" x14ac:dyDescent="0.25">
      <c r="A14" s="8">
        <f t="shared" si="0"/>
        <v>13</v>
      </c>
      <c r="B14" s="24" t="s">
        <v>370</v>
      </c>
      <c r="C14" s="27">
        <v>39925</v>
      </c>
      <c r="D14" s="4">
        <v>56</v>
      </c>
      <c r="E14" s="4" t="s">
        <v>19</v>
      </c>
      <c r="F14" s="4" t="s">
        <v>26</v>
      </c>
      <c r="G14" s="4" t="s">
        <v>21</v>
      </c>
      <c r="H14" s="44" t="s">
        <v>621</v>
      </c>
      <c r="I14" s="5" t="s">
        <v>117</v>
      </c>
      <c r="J14" s="36" t="s">
        <v>118</v>
      </c>
      <c r="K14" s="2"/>
      <c r="L14" s="2"/>
      <c r="M14" s="2"/>
      <c r="N14" s="2"/>
      <c r="O14" s="2"/>
      <c r="P14" s="2"/>
      <c r="Q14" s="2"/>
      <c r="R14" s="3"/>
      <c r="S14" s="2"/>
      <c r="T14" s="2"/>
      <c r="U14" s="2"/>
      <c r="V14" s="2"/>
      <c r="W14" s="2"/>
      <c r="X14" s="2"/>
      <c r="Y14" s="2"/>
      <c r="Z14" s="2"/>
      <c r="AA14" s="2"/>
      <c r="AB14" s="2"/>
      <c r="AC14" s="2"/>
      <c r="AD14" s="2"/>
    </row>
    <row r="15" spans="1:30" ht="22.5" customHeight="1" x14ac:dyDescent="0.25">
      <c r="A15" s="8">
        <f t="shared" si="0"/>
        <v>14</v>
      </c>
      <c r="B15" s="24" t="s">
        <v>474</v>
      </c>
      <c r="C15" s="27">
        <v>38384</v>
      </c>
      <c r="D15" s="4">
        <v>64</v>
      </c>
      <c r="E15" s="4" t="s">
        <v>25</v>
      </c>
      <c r="F15" s="4" t="s">
        <v>26</v>
      </c>
      <c r="G15" s="4" t="s">
        <v>21</v>
      </c>
      <c r="H15" s="44" t="s">
        <v>620</v>
      </c>
      <c r="I15" s="5" t="s">
        <v>117</v>
      </c>
      <c r="J15" s="36" t="s">
        <v>118</v>
      </c>
      <c r="K15" s="2"/>
      <c r="L15" s="2"/>
      <c r="M15" s="2"/>
      <c r="N15" s="2"/>
      <c r="O15" s="2"/>
      <c r="P15" s="2"/>
      <c r="Q15" s="2"/>
      <c r="R15" s="3"/>
      <c r="S15" s="2"/>
      <c r="T15" s="2"/>
      <c r="U15" s="2"/>
      <c r="V15" s="2"/>
      <c r="W15" s="2"/>
      <c r="X15" s="2"/>
      <c r="Y15" s="2"/>
      <c r="Z15" s="2"/>
      <c r="AA15" s="2"/>
      <c r="AB15" s="2"/>
      <c r="AC15" s="2"/>
      <c r="AD15" s="2"/>
    </row>
    <row r="16" spans="1:30" ht="22.5" customHeight="1" x14ac:dyDescent="0.25">
      <c r="A16" s="8">
        <f t="shared" si="0"/>
        <v>15</v>
      </c>
      <c r="B16" s="24" t="s">
        <v>514</v>
      </c>
      <c r="C16" s="27">
        <v>36701</v>
      </c>
      <c r="D16" s="4">
        <v>75</v>
      </c>
      <c r="E16" s="4" t="s">
        <v>25</v>
      </c>
      <c r="F16" s="4" t="s">
        <v>26</v>
      </c>
      <c r="G16" s="4" t="s">
        <v>21</v>
      </c>
      <c r="H16" s="44" t="s">
        <v>622</v>
      </c>
      <c r="I16" s="5" t="s">
        <v>117</v>
      </c>
      <c r="J16" s="36" t="s">
        <v>118</v>
      </c>
      <c r="K16" s="2"/>
      <c r="L16" s="2"/>
      <c r="M16" s="2"/>
      <c r="N16" s="2"/>
      <c r="O16" s="2"/>
      <c r="P16" s="2"/>
      <c r="Q16" s="2"/>
      <c r="R16" s="3"/>
      <c r="S16" s="2"/>
      <c r="T16" s="2"/>
      <c r="U16" s="2"/>
      <c r="V16" s="2"/>
      <c r="W16" s="2"/>
      <c r="X16" s="2"/>
      <c r="Y16" s="2"/>
      <c r="Z16" s="2"/>
      <c r="AA16" s="2"/>
      <c r="AB16" s="2"/>
      <c r="AC16" s="2"/>
      <c r="AD16" s="2"/>
    </row>
    <row r="17" spans="1:30" ht="22.5" customHeight="1" x14ac:dyDescent="0.25">
      <c r="A17" s="8">
        <f t="shared" si="0"/>
        <v>16</v>
      </c>
      <c r="B17" s="24" t="s">
        <v>225</v>
      </c>
      <c r="C17" s="27">
        <v>38272</v>
      </c>
      <c r="D17" s="4">
        <v>60</v>
      </c>
      <c r="E17" s="4" t="s">
        <v>19</v>
      </c>
      <c r="F17" s="4" t="s">
        <v>37</v>
      </c>
      <c r="G17" s="4" t="s">
        <v>21</v>
      </c>
      <c r="H17" s="44" t="s">
        <v>621</v>
      </c>
      <c r="I17" s="5" t="s">
        <v>117</v>
      </c>
      <c r="J17" s="36" t="s">
        <v>118</v>
      </c>
      <c r="K17" s="2"/>
      <c r="L17" s="2"/>
      <c r="M17" s="2"/>
      <c r="N17" s="2"/>
      <c r="O17" s="2"/>
      <c r="P17" s="2"/>
      <c r="Q17" s="2"/>
      <c r="R17" s="3"/>
      <c r="S17" s="2"/>
      <c r="T17" s="2"/>
      <c r="U17" s="2"/>
      <c r="V17" s="2"/>
      <c r="W17" s="2"/>
      <c r="X17" s="2"/>
      <c r="Y17" s="2"/>
      <c r="Z17" s="2"/>
      <c r="AA17" s="2"/>
      <c r="AB17" s="2"/>
      <c r="AC17" s="2"/>
      <c r="AD17" s="2"/>
    </row>
    <row r="18" spans="1:30" ht="22.5" customHeight="1" x14ac:dyDescent="0.25">
      <c r="A18" s="8">
        <f t="shared" si="0"/>
        <v>17</v>
      </c>
      <c r="B18" s="24" t="s">
        <v>594</v>
      </c>
      <c r="C18" s="27">
        <v>38135</v>
      </c>
      <c r="D18" s="4">
        <v>70</v>
      </c>
      <c r="E18" s="4" t="s">
        <v>19</v>
      </c>
      <c r="F18" s="4" t="s">
        <v>26</v>
      </c>
      <c r="G18" s="4" t="s">
        <v>21</v>
      </c>
      <c r="H18" s="44" t="s">
        <v>622</v>
      </c>
      <c r="I18" s="5" t="s">
        <v>117</v>
      </c>
      <c r="J18" s="36" t="s">
        <v>118</v>
      </c>
      <c r="K18" s="2"/>
      <c r="L18" s="2"/>
      <c r="M18" s="2"/>
      <c r="N18" s="2"/>
      <c r="O18" s="2"/>
      <c r="P18" s="2"/>
      <c r="Q18" s="2"/>
      <c r="R18" s="3"/>
      <c r="S18" s="2"/>
      <c r="T18" s="2"/>
      <c r="U18" s="2"/>
      <c r="V18" s="2"/>
      <c r="W18" s="2"/>
      <c r="X18" s="2"/>
      <c r="Y18" s="2"/>
      <c r="Z18" s="2"/>
      <c r="AA18" s="2"/>
      <c r="AB18" s="2"/>
      <c r="AC18" s="2"/>
      <c r="AD18" s="2"/>
    </row>
    <row r="19" spans="1:30" ht="22.5" customHeight="1" x14ac:dyDescent="0.25">
      <c r="A19" s="8">
        <f t="shared" si="0"/>
        <v>18</v>
      </c>
      <c r="B19" s="24" t="s">
        <v>487</v>
      </c>
      <c r="C19" s="27">
        <v>35678</v>
      </c>
      <c r="D19" s="4">
        <v>63</v>
      </c>
      <c r="E19" s="4" t="s">
        <v>25</v>
      </c>
      <c r="F19" s="4" t="s">
        <v>26</v>
      </c>
      <c r="G19" s="4" t="s">
        <v>45</v>
      </c>
      <c r="H19" s="44" t="s">
        <v>622</v>
      </c>
      <c r="I19" s="5" t="s">
        <v>117</v>
      </c>
      <c r="J19" s="36" t="s">
        <v>118</v>
      </c>
      <c r="K19" s="2"/>
      <c r="L19" s="2"/>
      <c r="M19" s="2"/>
      <c r="N19" s="2"/>
      <c r="O19" s="2"/>
      <c r="P19" s="2"/>
      <c r="Q19" s="2"/>
      <c r="R19" s="3"/>
      <c r="S19" s="2"/>
      <c r="T19" s="2"/>
      <c r="U19" s="2"/>
      <c r="V19" s="2"/>
      <c r="W19" s="2"/>
      <c r="X19" s="2"/>
      <c r="Y19" s="2"/>
      <c r="Z19" s="2"/>
      <c r="AA19" s="2"/>
      <c r="AB19" s="2"/>
      <c r="AC19" s="2"/>
      <c r="AD19" s="2"/>
    </row>
    <row r="20" spans="1:30" ht="22.5" customHeight="1" x14ac:dyDescent="0.25">
      <c r="A20" s="8">
        <f t="shared" si="0"/>
        <v>19</v>
      </c>
      <c r="B20" s="24" t="s">
        <v>298</v>
      </c>
      <c r="C20" s="27">
        <v>40402</v>
      </c>
      <c r="D20" s="4">
        <v>57</v>
      </c>
      <c r="E20" s="4" t="s">
        <v>25</v>
      </c>
      <c r="F20" s="4" t="s">
        <v>26</v>
      </c>
      <c r="G20" s="4" t="s">
        <v>21</v>
      </c>
      <c r="H20" s="44" t="s">
        <v>620</v>
      </c>
      <c r="I20" s="5" t="s">
        <v>117</v>
      </c>
      <c r="J20" s="36" t="s">
        <v>299</v>
      </c>
      <c r="K20" s="2"/>
      <c r="L20" s="2"/>
      <c r="M20" s="2"/>
      <c r="N20" s="2"/>
      <c r="O20" s="2"/>
      <c r="P20" s="2"/>
      <c r="Q20" s="2"/>
      <c r="R20" s="3"/>
      <c r="S20" s="2"/>
      <c r="T20" s="2"/>
      <c r="U20" s="2"/>
      <c r="V20" s="2"/>
      <c r="W20" s="2"/>
      <c r="X20" s="2"/>
      <c r="Y20" s="2"/>
      <c r="Z20" s="2"/>
      <c r="AA20" s="2"/>
      <c r="AB20" s="2"/>
      <c r="AC20" s="2"/>
      <c r="AD20" s="2"/>
    </row>
    <row r="21" spans="1:30" ht="22.5" customHeight="1" x14ac:dyDescent="0.25">
      <c r="A21" s="8">
        <f t="shared" si="0"/>
        <v>20</v>
      </c>
      <c r="B21" s="24" t="s">
        <v>420</v>
      </c>
      <c r="C21" s="27">
        <v>40702</v>
      </c>
      <c r="D21" s="4">
        <v>60</v>
      </c>
      <c r="E21" s="4" t="s">
        <v>19</v>
      </c>
      <c r="F21" s="4" t="s">
        <v>37</v>
      </c>
      <c r="G21" s="4" t="s">
        <v>21</v>
      </c>
      <c r="H21" s="44" t="s">
        <v>620</v>
      </c>
      <c r="I21" s="5" t="s">
        <v>117</v>
      </c>
      <c r="J21" s="36" t="s">
        <v>299</v>
      </c>
      <c r="K21" s="2"/>
      <c r="L21" s="2"/>
      <c r="M21" s="2"/>
      <c r="N21" s="2"/>
      <c r="O21" s="2"/>
      <c r="P21" s="2"/>
      <c r="Q21" s="2"/>
      <c r="R21" s="3"/>
      <c r="S21" s="2"/>
      <c r="T21" s="2"/>
      <c r="U21" s="2"/>
      <c r="V21" s="2"/>
      <c r="W21" s="2"/>
      <c r="X21" s="2"/>
      <c r="Y21" s="2"/>
      <c r="Z21" s="2"/>
      <c r="AA21" s="2"/>
      <c r="AB21" s="2"/>
      <c r="AC21" s="2"/>
      <c r="AD21" s="2"/>
    </row>
    <row r="22" spans="1:30" ht="22.5" customHeight="1" x14ac:dyDescent="0.25">
      <c r="A22" s="8">
        <f t="shared" si="0"/>
        <v>21</v>
      </c>
      <c r="B22" s="24" t="s">
        <v>309</v>
      </c>
      <c r="C22" s="27">
        <v>39360</v>
      </c>
      <c r="D22" s="4">
        <v>67</v>
      </c>
      <c r="E22" s="4" t="s">
        <v>25</v>
      </c>
      <c r="F22" s="4" t="s">
        <v>37</v>
      </c>
      <c r="G22" s="4" t="s">
        <v>21</v>
      </c>
      <c r="H22" s="44" t="s">
        <v>621</v>
      </c>
      <c r="I22" s="5" t="s">
        <v>117</v>
      </c>
      <c r="J22" s="36" t="s">
        <v>299</v>
      </c>
      <c r="K22" s="2"/>
      <c r="L22" s="2"/>
      <c r="M22" s="2"/>
      <c r="N22" s="2"/>
      <c r="O22" s="2"/>
      <c r="P22" s="2"/>
      <c r="Q22" s="2"/>
      <c r="R22" s="3"/>
      <c r="S22" s="2"/>
      <c r="T22" s="2"/>
      <c r="U22" s="2"/>
      <c r="V22" s="2"/>
      <c r="W22" s="2"/>
      <c r="X22" s="2"/>
      <c r="Y22" s="2"/>
      <c r="Z22" s="2"/>
      <c r="AA22" s="2"/>
      <c r="AB22" s="2"/>
      <c r="AC22" s="2"/>
      <c r="AD22" s="2"/>
    </row>
    <row r="23" spans="1:30" ht="22.5" customHeight="1" x14ac:dyDescent="0.25">
      <c r="A23" s="8">
        <f t="shared" si="0"/>
        <v>22</v>
      </c>
      <c r="B23" s="24" t="s">
        <v>169</v>
      </c>
      <c r="C23" s="27">
        <v>44219</v>
      </c>
      <c r="D23" s="4">
        <v>15</v>
      </c>
      <c r="E23" s="4" t="s">
        <v>25</v>
      </c>
      <c r="F23" s="4" t="s">
        <v>50</v>
      </c>
      <c r="G23" s="4" t="s">
        <v>21</v>
      </c>
      <c r="H23" s="44" t="s">
        <v>621</v>
      </c>
      <c r="I23" s="5" t="s">
        <v>121</v>
      </c>
      <c r="J23" s="36" t="s">
        <v>122</v>
      </c>
      <c r="K23" s="2"/>
      <c r="L23" s="2"/>
      <c r="M23" s="2"/>
      <c r="N23" s="2"/>
      <c r="O23" s="2"/>
      <c r="P23" s="2"/>
      <c r="Q23" s="2"/>
      <c r="R23" s="3"/>
      <c r="S23" s="2"/>
      <c r="T23" s="2"/>
      <c r="U23" s="2"/>
      <c r="V23" s="2"/>
      <c r="W23" s="2"/>
      <c r="X23" s="2"/>
      <c r="Y23" s="2"/>
      <c r="Z23" s="2"/>
      <c r="AA23" s="2"/>
      <c r="AB23" s="2"/>
      <c r="AC23" s="2"/>
      <c r="AD23" s="2"/>
    </row>
    <row r="24" spans="1:30" ht="22.5" customHeight="1" x14ac:dyDescent="0.25">
      <c r="A24" s="8">
        <f t="shared" si="0"/>
        <v>23</v>
      </c>
      <c r="B24" s="24" t="s">
        <v>157</v>
      </c>
      <c r="C24" s="27">
        <v>43919</v>
      </c>
      <c r="D24" s="4">
        <v>20</v>
      </c>
      <c r="E24" s="4" t="s">
        <v>19</v>
      </c>
      <c r="F24" s="4" t="s">
        <v>28</v>
      </c>
      <c r="G24" s="4" t="s">
        <v>21</v>
      </c>
      <c r="H24" s="44" t="s">
        <v>620</v>
      </c>
      <c r="I24" s="5" t="s">
        <v>121</v>
      </c>
      <c r="J24" s="36" t="s">
        <v>122</v>
      </c>
      <c r="K24" s="2"/>
      <c r="L24" s="2"/>
      <c r="M24" s="2"/>
      <c r="N24" s="2"/>
      <c r="O24" s="2"/>
      <c r="P24" s="2"/>
      <c r="Q24" s="2"/>
      <c r="R24" s="3"/>
      <c r="S24" s="2"/>
      <c r="T24" s="2"/>
      <c r="U24" s="2"/>
      <c r="V24" s="2"/>
      <c r="W24" s="2"/>
      <c r="X24" s="2"/>
      <c r="Y24" s="2"/>
      <c r="Z24" s="2"/>
      <c r="AA24" s="2"/>
      <c r="AB24" s="2"/>
      <c r="AC24" s="2"/>
      <c r="AD24" s="2"/>
    </row>
    <row r="25" spans="1:30" ht="22.5" customHeight="1" x14ac:dyDescent="0.25">
      <c r="A25" s="8">
        <f t="shared" si="0"/>
        <v>24</v>
      </c>
      <c r="B25" s="24" t="s">
        <v>123</v>
      </c>
      <c r="C25" s="27">
        <v>43528</v>
      </c>
      <c r="D25" s="4">
        <v>17</v>
      </c>
      <c r="E25" s="4" t="s">
        <v>25</v>
      </c>
      <c r="F25" s="4" t="s">
        <v>28</v>
      </c>
      <c r="G25" s="4" t="s">
        <v>21</v>
      </c>
      <c r="H25" s="44" t="s">
        <v>622</v>
      </c>
      <c r="I25" s="5" t="s">
        <v>121</v>
      </c>
      <c r="J25" s="36" t="s">
        <v>122</v>
      </c>
      <c r="K25" s="2"/>
      <c r="L25" s="2"/>
      <c r="M25" s="2"/>
      <c r="N25" s="2"/>
      <c r="O25" s="2"/>
      <c r="P25" s="2"/>
      <c r="Q25" s="2"/>
      <c r="R25" s="3"/>
      <c r="S25" s="2"/>
      <c r="T25" s="2"/>
      <c r="U25" s="2"/>
      <c r="V25" s="2"/>
      <c r="W25" s="2"/>
      <c r="X25" s="2"/>
      <c r="Y25" s="2"/>
      <c r="Z25" s="2"/>
      <c r="AA25" s="2"/>
      <c r="AB25" s="2"/>
      <c r="AC25" s="2"/>
      <c r="AD25" s="2"/>
    </row>
    <row r="26" spans="1:30" ht="22.5" customHeight="1" x14ac:dyDescent="0.25">
      <c r="A26" s="8">
        <f t="shared" si="0"/>
        <v>25</v>
      </c>
      <c r="B26" s="24" t="s">
        <v>590</v>
      </c>
      <c r="C26" s="27">
        <v>43814</v>
      </c>
      <c r="D26" s="4">
        <v>19</v>
      </c>
      <c r="E26" s="18" t="s">
        <v>25</v>
      </c>
      <c r="F26" s="18" t="s">
        <v>28</v>
      </c>
      <c r="G26" s="18" t="s">
        <v>21</v>
      </c>
      <c r="H26" s="44" t="s">
        <v>621</v>
      </c>
      <c r="I26" s="19" t="s">
        <v>121</v>
      </c>
      <c r="J26" s="37" t="s">
        <v>122</v>
      </c>
      <c r="K26" s="2"/>
      <c r="L26" s="2"/>
      <c r="M26" s="2"/>
      <c r="N26" s="2"/>
      <c r="O26" s="2"/>
      <c r="P26" s="2"/>
      <c r="Q26" s="2"/>
      <c r="R26" s="3"/>
      <c r="S26" s="2"/>
      <c r="T26" s="2"/>
      <c r="U26" s="2"/>
      <c r="V26" s="2"/>
      <c r="W26" s="2"/>
      <c r="X26" s="2"/>
      <c r="Y26" s="2"/>
      <c r="Z26" s="2"/>
      <c r="AA26" s="2"/>
      <c r="AB26" s="2"/>
      <c r="AC26" s="2"/>
      <c r="AD26" s="2"/>
    </row>
    <row r="27" spans="1:30" ht="22.5" customHeight="1" x14ac:dyDescent="0.25">
      <c r="A27" s="8">
        <f t="shared" si="0"/>
        <v>26</v>
      </c>
      <c r="B27" s="24" t="s">
        <v>202</v>
      </c>
      <c r="C27" s="27">
        <v>43454</v>
      </c>
      <c r="D27" s="4">
        <v>18</v>
      </c>
      <c r="E27" s="4" t="s">
        <v>25</v>
      </c>
      <c r="F27" s="4" t="s">
        <v>39</v>
      </c>
      <c r="G27" s="4" t="s">
        <v>21</v>
      </c>
      <c r="H27" s="44" t="s">
        <v>622</v>
      </c>
      <c r="I27" s="5" t="s">
        <v>121</v>
      </c>
      <c r="J27" s="38" t="s">
        <v>122</v>
      </c>
      <c r="K27" s="2"/>
      <c r="L27" s="2"/>
      <c r="M27" s="2"/>
      <c r="N27" s="2"/>
      <c r="O27" s="2"/>
      <c r="P27" s="2"/>
      <c r="Q27" s="2"/>
      <c r="R27" s="3"/>
      <c r="S27" s="2"/>
      <c r="T27" s="2"/>
      <c r="U27" s="2"/>
      <c r="V27" s="2"/>
      <c r="W27" s="2"/>
      <c r="X27" s="2"/>
      <c r="Y27" s="2"/>
      <c r="Z27" s="2"/>
      <c r="AA27" s="2"/>
      <c r="AB27" s="2"/>
      <c r="AC27" s="2"/>
      <c r="AD27" s="2"/>
    </row>
    <row r="28" spans="1:30" ht="22.5" customHeight="1" x14ac:dyDescent="0.25">
      <c r="A28" s="8">
        <f t="shared" si="0"/>
        <v>27</v>
      </c>
      <c r="B28" s="24" t="s">
        <v>589</v>
      </c>
      <c r="C28" s="27">
        <v>43238</v>
      </c>
      <c r="D28" s="4">
        <v>21</v>
      </c>
      <c r="E28" s="18" t="s">
        <v>25</v>
      </c>
      <c r="F28" s="18" t="s">
        <v>42</v>
      </c>
      <c r="G28" s="18" t="s">
        <v>21</v>
      </c>
      <c r="H28" s="44" t="s">
        <v>622</v>
      </c>
      <c r="I28" s="19" t="s">
        <v>383</v>
      </c>
      <c r="J28" s="37" t="s">
        <v>122</v>
      </c>
      <c r="K28" s="2"/>
      <c r="L28" s="2"/>
      <c r="M28" s="2"/>
      <c r="N28" s="2"/>
      <c r="O28" s="2"/>
      <c r="P28" s="2"/>
      <c r="Q28" s="2"/>
      <c r="R28" s="3"/>
      <c r="S28" s="2"/>
      <c r="T28" s="2"/>
      <c r="U28" s="2"/>
      <c r="V28" s="2"/>
      <c r="W28" s="2"/>
      <c r="X28" s="2"/>
      <c r="Y28" s="2"/>
      <c r="Z28" s="2"/>
      <c r="AA28" s="2"/>
      <c r="AB28" s="2"/>
      <c r="AC28" s="2"/>
      <c r="AD28" s="2"/>
    </row>
    <row r="29" spans="1:30" ht="22.5" customHeight="1" x14ac:dyDescent="0.25">
      <c r="A29" s="8">
        <f t="shared" si="0"/>
        <v>28</v>
      </c>
      <c r="B29" s="24" t="s">
        <v>120</v>
      </c>
      <c r="C29" s="27">
        <v>43434</v>
      </c>
      <c r="D29" s="4">
        <v>18</v>
      </c>
      <c r="E29" s="4" t="s">
        <v>19</v>
      </c>
      <c r="F29" s="4" t="s">
        <v>28</v>
      </c>
      <c r="G29" s="4" t="s">
        <v>21</v>
      </c>
      <c r="H29" s="44" t="s">
        <v>620</v>
      </c>
      <c r="I29" s="5" t="s">
        <v>121</v>
      </c>
      <c r="J29" s="36" t="s">
        <v>122</v>
      </c>
      <c r="K29" s="2"/>
      <c r="L29" s="2"/>
      <c r="M29" s="2"/>
      <c r="N29" s="2"/>
      <c r="O29" s="2"/>
      <c r="P29" s="2"/>
      <c r="Q29" s="2"/>
      <c r="R29" s="3"/>
      <c r="S29" s="2"/>
      <c r="T29" s="2"/>
      <c r="U29" s="2"/>
      <c r="V29" s="2"/>
      <c r="W29" s="2"/>
      <c r="X29" s="2"/>
      <c r="Y29" s="2"/>
      <c r="Z29" s="2"/>
      <c r="AA29" s="2"/>
      <c r="AB29" s="2"/>
      <c r="AC29" s="2"/>
      <c r="AD29" s="2"/>
    </row>
    <row r="30" spans="1:30" ht="22.5" customHeight="1" x14ac:dyDescent="0.25">
      <c r="A30" s="8">
        <f t="shared" si="0"/>
        <v>29</v>
      </c>
      <c r="B30" s="24" t="s">
        <v>214</v>
      </c>
      <c r="C30" s="27">
        <v>43452</v>
      </c>
      <c r="D30" s="4">
        <v>15</v>
      </c>
      <c r="E30" s="4" t="s">
        <v>19</v>
      </c>
      <c r="F30" s="4" t="s">
        <v>50</v>
      </c>
      <c r="G30" s="4" t="s">
        <v>51</v>
      </c>
      <c r="H30" s="44" t="s">
        <v>620</v>
      </c>
      <c r="I30" s="5" t="s">
        <v>121</v>
      </c>
      <c r="J30" s="36" t="s">
        <v>122</v>
      </c>
      <c r="K30" s="2"/>
      <c r="L30" s="2"/>
      <c r="M30" s="2"/>
      <c r="N30" s="2"/>
      <c r="O30" s="2"/>
      <c r="P30" s="2"/>
      <c r="Q30" s="2"/>
      <c r="R30" s="3"/>
      <c r="S30" s="2"/>
      <c r="T30" s="2"/>
      <c r="U30" s="2"/>
      <c r="V30" s="2"/>
      <c r="W30" s="2"/>
      <c r="X30" s="2"/>
      <c r="Y30" s="2"/>
      <c r="Z30" s="2"/>
      <c r="AA30" s="2"/>
      <c r="AB30" s="2"/>
      <c r="AC30" s="2"/>
      <c r="AD30" s="2"/>
    </row>
    <row r="31" spans="1:30" ht="22.5" customHeight="1" x14ac:dyDescent="0.25">
      <c r="A31" s="8">
        <f t="shared" si="0"/>
        <v>30</v>
      </c>
      <c r="B31" s="24" t="s">
        <v>399</v>
      </c>
      <c r="C31" s="27">
        <v>42834</v>
      </c>
      <c r="D31" s="4">
        <v>24</v>
      </c>
      <c r="E31" s="4" t="s">
        <v>25</v>
      </c>
      <c r="F31" s="4" t="s">
        <v>61</v>
      </c>
      <c r="G31" s="4" t="s">
        <v>21</v>
      </c>
      <c r="H31" s="44" t="s">
        <v>621</v>
      </c>
      <c r="I31" s="5" t="s">
        <v>383</v>
      </c>
      <c r="J31" s="36" t="s">
        <v>122</v>
      </c>
      <c r="K31" s="2"/>
      <c r="L31" s="2"/>
      <c r="M31" s="2"/>
      <c r="N31" s="2"/>
      <c r="O31" s="2"/>
      <c r="P31" s="2"/>
      <c r="Q31" s="2"/>
      <c r="R31" s="3"/>
      <c r="S31" s="2"/>
      <c r="T31" s="2"/>
      <c r="U31" s="2"/>
      <c r="V31" s="2"/>
      <c r="W31" s="2"/>
      <c r="X31" s="2"/>
      <c r="Y31" s="2"/>
      <c r="Z31" s="2"/>
      <c r="AA31" s="2"/>
      <c r="AB31" s="2"/>
      <c r="AC31" s="2"/>
      <c r="AD31" s="2"/>
    </row>
    <row r="32" spans="1:30" ht="22.5" customHeight="1" x14ac:dyDescent="0.25">
      <c r="A32" s="8">
        <f t="shared" si="0"/>
        <v>31</v>
      </c>
      <c r="B32" s="24" t="s">
        <v>404</v>
      </c>
      <c r="C32" s="27">
        <v>42925</v>
      </c>
      <c r="D32" s="4">
        <v>28</v>
      </c>
      <c r="E32" s="4" t="s">
        <v>25</v>
      </c>
      <c r="F32" s="4" t="s">
        <v>39</v>
      </c>
      <c r="G32" s="4" t="s">
        <v>51</v>
      </c>
      <c r="H32" s="44" t="s">
        <v>621</v>
      </c>
      <c r="I32" s="5" t="s">
        <v>383</v>
      </c>
      <c r="J32" s="36" t="s">
        <v>122</v>
      </c>
      <c r="K32" s="2"/>
      <c r="L32" s="2"/>
      <c r="M32" s="2"/>
      <c r="N32" s="2"/>
      <c r="O32" s="2"/>
      <c r="P32" s="2"/>
      <c r="Q32" s="2"/>
      <c r="R32" s="3"/>
      <c r="S32" s="2"/>
      <c r="T32" s="2"/>
      <c r="U32" s="2"/>
      <c r="V32" s="2"/>
      <c r="W32" s="2"/>
      <c r="X32" s="2"/>
      <c r="Y32" s="2"/>
      <c r="Z32" s="2"/>
      <c r="AA32" s="2"/>
      <c r="AB32" s="2"/>
      <c r="AC32" s="2"/>
      <c r="AD32" s="2"/>
    </row>
    <row r="33" spans="1:30" ht="22.5" customHeight="1" x14ac:dyDescent="0.25">
      <c r="A33" s="8">
        <f t="shared" si="0"/>
        <v>32</v>
      </c>
      <c r="B33" s="24" t="s">
        <v>127</v>
      </c>
      <c r="C33" s="27">
        <v>43064</v>
      </c>
      <c r="D33" s="4">
        <v>20</v>
      </c>
      <c r="E33" s="4" t="s">
        <v>19</v>
      </c>
      <c r="F33" s="4" t="s">
        <v>28</v>
      </c>
      <c r="G33" s="4" t="s">
        <v>51</v>
      </c>
      <c r="H33" s="44" t="s">
        <v>620</v>
      </c>
      <c r="I33" s="5" t="s">
        <v>121</v>
      </c>
      <c r="J33" s="36" t="s">
        <v>122</v>
      </c>
      <c r="K33" s="2"/>
      <c r="L33" s="2"/>
      <c r="M33" s="2"/>
      <c r="N33" s="2"/>
      <c r="O33" s="2"/>
      <c r="P33" s="2"/>
      <c r="Q33" s="2"/>
      <c r="R33" s="3"/>
      <c r="S33" s="2"/>
      <c r="T33" s="2"/>
      <c r="U33" s="2"/>
      <c r="V33" s="2"/>
      <c r="W33" s="2"/>
      <c r="X33" s="2"/>
      <c r="Y33" s="2"/>
      <c r="Z33" s="2"/>
      <c r="AA33" s="2"/>
      <c r="AB33" s="2"/>
      <c r="AC33" s="2"/>
      <c r="AD33" s="2"/>
    </row>
    <row r="34" spans="1:30" ht="22.5" customHeight="1" x14ac:dyDescent="0.25">
      <c r="A34" s="8">
        <f t="shared" si="0"/>
        <v>33</v>
      </c>
      <c r="B34" s="24" t="s">
        <v>396</v>
      </c>
      <c r="C34" s="27">
        <v>42764</v>
      </c>
      <c r="D34" s="4">
        <v>28</v>
      </c>
      <c r="E34" s="4" t="s">
        <v>19</v>
      </c>
      <c r="F34" s="4" t="s">
        <v>39</v>
      </c>
      <c r="G34" s="4" t="s">
        <v>51</v>
      </c>
      <c r="H34" s="44" t="s">
        <v>622</v>
      </c>
      <c r="I34" s="5" t="s">
        <v>383</v>
      </c>
      <c r="J34" s="36" t="s">
        <v>122</v>
      </c>
      <c r="K34" s="2"/>
      <c r="L34" s="2"/>
      <c r="M34" s="2"/>
      <c r="N34" s="2"/>
      <c r="O34" s="2"/>
      <c r="P34" s="2"/>
      <c r="Q34" s="2"/>
      <c r="R34" s="3"/>
      <c r="S34" s="2"/>
      <c r="T34" s="2"/>
      <c r="U34" s="2"/>
      <c r="V34" s="2"/>
      <c r="W34" s="2"/>
      <c r="X34" s="2"/>
      <c r="Y34" s="2"/>
      <c r="Z34" s="2"/>
      <c r="AA34" s="2"/>
      <c r="AB34" s="2"/>
      <c r="AC34" s="2"/>
      <c r="AD34" s="2"/>
    </row>
    <row r="35" spans="1:30" ht="22.5" customHeight="1" x14ac:dyDescent="0.25">
      <c r="A35" s="8">
        <f t="shared" si="0"/>
        <v>34</v>
      </c>
      <c r="B35" s="24" t="s">
        <v>395</v>
      </c>
      <c r="C35" s="27">
        <v>42765</v>
      </c>
      <c r="D35" s="4">
        <v>31</v>
      </c>
      <c r="E35" s="4" t="s">
        <v>19</v>
      </c>
      <c r="F35" s="4" t="s">
        <v>39</v>
      </c>
      <c r="G35" s="4" t="s">
        <v>51</v>
      </c>
      <c r="H35" s="44" t="s">
        <v>621</v>
      </c>
      <c r="I35" s="5" t="s">
        <v>383</v>
      </c>
      <c r="J35" s="36" t="s">
        <v>122</v>
      </c>
      <c r="K35" s="2"/>
      <c r="L35" s="2"/>
      <c r="M35" s="2"/>
      <c r="N35" s="2"/>
      <c r="O35" s="2"/>
      <c r="P35" s="2"/>
      <c r="Q35" s="2"/>
      <c r="R35" s="3"/>
      <c r="S35" s="2"/>
      <c r="T35" s="2"/>
      <c r="U35" s="2"/>
      <c r="V35" s="2"/>
      <c r="W35" s="2"/>
      <c r="X35" s="2"/>
      <c r="Y35" s="2"/>
      <c r="Z35" s="2"/>
      <c r="AA35" s="2"/>
      <c r="AB35" s="2"/>
      <c r="AC35" s="2"/>
      <c r="AD35" s="2"/>
    </row>
    <row r="36" spans="1:30" ht="22.5" customHeight="1" x14ac:dyDescent="0.25">
      <c r="A36" s="8">
        <f t="shared" si="0"/>
        <v>35</v>
      </c>
      <c r="B36" s="24" t="s">
        <v>591</v>
      </c>
      <c r="C36" s="27">
        <v>42415</v>
      </c>
      <c r="D36" s="4">
        <v>25</v>
      </c>
      <c r="E36" s="18" t="s">
        <v>25</v>
      </c>
      <c r="F36" s="18" t="s">
        <v>42</v>
      </c>
      <c r="G36" s="18" t="s">
        <v>21</v>
      </c>
      <c r="H36" s="44" t="s">
        <v>622</v>
      </c>
      <c r="I36" s="19" t="s">
        <v>121</v>
      </c>
      <c r="J36" s="37" t="s">
        <v>122</v>
      </c>
      <c r="K36" s="2"/>
      <c r="L36" s="2"/>
      <c r="M36" s="2"/>
      <c r="N36" s="2"/>
      <c r="O36" s="2"/>
      <c r="P36" s="2"/>
      <c r="Q36" s="2"/>
      <c r="R36" s="3"/>
      <c r="S36" s="2"/>
      <c r="T36" s="2"/>
      <c r="U36" s="2"/>
      <c r="V36" s="2"/>
      <c r="W36" s="2"/>
      <c r="X36" s="2"/>
      <c r="Y36" s="2"/>
      <c r="Z36" s="2"/>
      <c r="AA36" s="2"/>
      <c r="AB36" s="2"/>
      <c r="AC36" s="2"/>
      <c r="AD36" s="2"/>
    </row>
    <row r="37" spans="1:30" ht="22.5" customHeight="1" x14ac:dyDescent="0.25">
      <c r="A37" s="8">
        <f t="shared" si="0"/>
        <v>36</v>
      </c>
      <c r="B37" s="24" t="s">
        <v>124</v>
      </c>
      <c r="C37" s="27">
        <v>42470</v>
      </c>
      <c r="D37" s="4">
        <v>28</v>
      </c>
      <c r="E37" s="4" t="s">
        <v>25</v>
      </c>
      <c r="F37" s="4" t="s">
        <v>34</v>
      </c>
      <c r="G37" s="4" t="s">
        <v>21</v>
      </c>
      <c r="H37" s="44" t="s">
        <v>622</v>
      </c>
      <c r="I37" s="5" t="s">
        <v>121</v>
      </c>
      <c r="J37" s="36" t="s">
        <v>122</v>
      </c>
      <c r="K37" s="2"/>
      <c r="L37" s="2"/>
      <c r="M37" s="2"/>
      <c r="N37" s="2"/>
      <c r="O37" s="2"/>
      <c r="P37" s="2"/>
      <c r="Q37" s="2"/>
      <c r="R37" s="3"/>
      <c r="S37" s="2"/>
      <c r="T37" s="2"/>
      <c r="U37" s="2"/>
      <c r="V37" s="2"/>
      <c r="W37" s="2"/>
      <c r="X37" s="2"/>
      <c r="Y37" s="2"/>
      <c r="Z37" s="2"/>
      <c r="AA37" s="2"/>
      <c r="AB37" s="2"/>
      <c r="AC37" s="2"/>
      <c r="AD37" s="2"/>
    </row>
    <row r="38" spans="1:30" ht="22.5" customHeight="1" x14ac:dyDescent="0.25">
      <c r="A38" s="8">
        <f t="shared" si="0"/>
        <v>37</v>
      </c>
      <c r="B38" s="24" t="s">
        <v>405</v>
      </c>
      <c r="C38" s="27">
        <v>42399</v>
      </c>
      <c r="D38" s="4">
        <v>38</v>
      </c>
      <c r="E38" s="4" t="s">
        <v>25</v>
      </c>
      <c r="F38" s="4" t="s">
        <v>86</v>
      </c>
      <c r="G38" s="4" t="s">
        <v>21</v>
      </c>
      <c r="H38" s="44" t="s">
        <v>620</v>
      </c>
      <c r="I38" s="5" t="s">
        <v>383</v>
      </c>
      <c r="J38" s="36" t="s">
        <v>122</v>
      </c>
      <c r="K38" s="2"/>
      <c r="L38" s="2"/>
      <c r="M38" s="2"/>
      <c r="N38" s="2"/>
      <c r="O38" s="2"/>
      <c r="P38" s="2"/>
      <c r="Q38" s="2"/>
      <c r="R38" s="3"/>
      <c r="S38" s="2"/>
      <c r="T38" s="2"/>
      <c r="U38" s="2"/>
      <c r="V38" s="2"/>
      <c r="W38" s="2"/>
      <c r="X38" s="2"/>
      <c r="Y38" s="2"/>
      <c r="Z38" s="2"/>
      <c r="AA38" s="2"/>
      <c r="AB38" s="2"/>
      <c r="AC38" s="2"/>
      <c r="AD38" s="2"/>
    </row>
    <row r="39" spans="1:30" ht="22.5" customHeight="1" x14ac:dyDescent="0.25">
      <c r="A39" s="8">
        <f t="shared" si="0"/>
        <v>38</v>
      </c>
      <c r="B39" s="24" t="s">
        <v>230</v>
      </c>
      <c r="C39" s="27">
        <v>42728</v>
      </c>
      <c r="D39" s="4">
        <v>27</v>
      </c>
      <c r="E39" s="4" t="s">
        <v>19</v>
      </c>
      <c r="F39" s="4" t="s">
        <v>28</v>
      </c>
      <c r="G39" s="4" t="s">
        <v>21</v>
      </c>
      <c r="H39" s="44" t="s">
        <v>620</v>
      </c>
      <c r="I39" s="5" t="s">
        <v>121</v>
      </c>
      <c r="J39" s="36" t="s">
        <v>122</v>
      </c>
      <c r="K39" s="2"/>
      <c r="L39" s="2"/>
      <c r="M39" s="2"/>
      <c r="N39" s="2"/>
      <c r="O39" s="2"/>
      <c r="P39" s="2"/>
      <c r="Q39" s="2"/>
      <c r="R39" s="3"/>
      <c r="S39" s="2"/>
      <c r="T39" s="2"/>
      <c r="U39" s="2"/>
      <c r="V39" s="2"/>
      <c r="W39" s="2"/>
      <c r="X39" s="2"/>
      <c r="Y39" s="2"/>
      <c r="Z39" s="2"/>
      <c r="AA39" s="2"/>
      <c r="AB39" s="2"/>
      <c r="AC39" s="2"/>
      <c r="AD39" s="2"/>
    </row>
    <row r="40" spans="1:30" ht="22.5" customHeight="1" x14ac:dyDescent="0.25">
      <c r="A40" s="8">
        <f t="shared" si="0"/>
        <v>39</v>
      </c>
      <c r="B40" s="24" t="s">
        <v>386</v>
      </c>
      <c r="C40" s="27">
        <v>42586</v>
      </c>
      <c r="D40" s="4">
        <v>26</v>
      </c>
      <c r="E40" s="4" t="s">
        <v>19</v>
      </c>
      <c r="F40" s="4" t="s">
        <v>34</v>
      </c>
      <c r="G40" s="4" t="s">
        <v>21</v>
      </c>
      <c r="H40" s="44" t="s">
        <v>621</v>
      </c>
      <c r="I40" s="5" t="s">
        <v>383</v>
      </c>
      <c r="J40" s="36" t="s">
        <v>122</v>
      </c>
      <c r="K40" s="2"/>
      <c r="L40" s="2"/>
      <c r="M40" s="2"/>
      <c r="N40" s="2"/>
      <c r="O40" s="2"/>
      <c r="P40" s="2"/>
      <c r="Q40" s="2"/>
      <c r="R40" s="3"/>
      <c r="S40" s="2"/>
      <c r="T40" s="2"/>
      <c r="U40" s="2"/>
      <c r="V40" s="2"/>
      <c r="W40" s="2"/>
      <c r="X40" s="2"/>
      <c r="Y40" s="2"/>
      <c r="Z40" s="2"/>
      <c r="AA40" s="2"/>
      <c r="AB40" s="2"/>
      <c r="AC40" s="2"/>
      <c r="AD40" s="2"/>
    </row>
    <row r="41" spans="1:30" ht="22.5" customHeight="1" x14ac:dyDescent="0.25">
      <c r="A41" s="8">
        <f t="shared" si="0"/>
        <v>40</v>
      </c>
      <c r="B41" s="24" t="s">
        <v>212</v>
      </c>
      <c r="C41" s="27">
        <v>42501</v>
      </c>
      <c r="D41" s="4">
        <v>35</v>
      </c>
      <c r="E41" s="4" t="s">
        <v>19</v>
      </c>
      <c r="F41" s="4" t="s">
        <v>50</v>
      </c>
      <c r="G41" s="4" t="s">
        <v>21</v>
      </c>
      <c r="H41" s="44" t="s">
        <v>621</v>
      </c>
      <c r="I41" s="5" t="s">
        <v>121</v>
      </c>
      <c r="J41" s="36" t="s">
        <v>122</v>
      </c>
      <c r="K41" s="2"/>
      <c r="L41" s="2"/>
      <c r="M41" s="2"/>
      <c r="N41" s="2"/>
      <c r="O41" s="2"/>
      <c r="P41" s="2"/>
      <c r="Q41" s="2"/>
      <c r="R41" s="3"/>
      <c r="S41" s="2"/>
      <c r="T41" s="2"/>
      <c r="U41" s="2"/>
      <c r="V41" s="2"/>
      <c r="W41" s="2"/>
      <c r="X41" s="2"/>
      <c r="Y41" s="2"/>
      <c r="Z41" s="2"/>
      <c r="AA41" s="2"/>
      <c r="AB41" s="2"/>
      <c r="AC41" s="2"/>
      <c r="AD41" s="2"/>
    </row>
    <row r="42" spans="1:30" ht="22.5" customHeight="1" x14ac:dyDescent="0.25">
      <c r="A42" s="8">
        <f t="shared" si="0"/>
        <v>41</v>
      </c>
      <c r="B42" s="24" t="s">
        <v>406</v>
      </c>
      <c r="C42" s="27">
        <v>42016</v>
      </c>
      <c r="D42" s="4">
        <v>30</v>
      </c>
      <c r="E42" s="4" t="s">
        <v>25</v>
      </c>
      <c r="F42" s="4" t="s">
        <v>61</v>
      </c>
      <c r="G42" s="4" t="s">
        <v>21</v>
      </c>
      <c r="H42" s="44" t="s">
        <v>620</v>
      </c>
      <c r="I42" s="5" t="s">
        <v>383</v>
      </c>
      <c r="J42" s="36" t="s">
        <v>122</v>
      </c>
      <c r="K42" s="2"/>
      <c r="L42" s="2"/>
      <c r="M42" s="2"/>
      <c r="N42" s="2"/>
      <c r="O42" s="2"/>
      <c r="P42" s="2"/>
      <c r="Q42" s="2"/>
      <c r="R42" s="3"/>
      <c r="S42" s="2"/>
      <c r="T42" s="2"/>
      <c r="U42" s="2"/>
      <c r="V42" s="2"/>
      <c r="W42" s="2"/>
      <c r="X42" s="2"/>
      <c r="Y42" s="2"/>
      <c r="Z42" s="2"/>
      <c r="AA42" s="2"/>
      <c r="AB42" s="2"/>
      <c r="AC42" s="2"/>
      <c r="AD42" s="2"/>
    </row>
    <row r="43" spans="1:30" ht="22.5" customHeight="1" x14ac:dyDescent="0.25">
      <c r="A43" s="8">
        <f t="shared" si="0"/>
        <v>42</v>
      </c>
      <c r="B43" s="24" t="s">
        <v>389</v>
      </c>
      <c r="C43" s="27">
        <v>42096</v>
      </c>
      <c r="D43" s="4">
        <v>35</v>
      </c>
      <c r="E43" s="4" t="s">
        <v>25</v>
      </c>
      <c r="F43" s="4" t="s">
        <v>86</v>
      </c>
      <c r="G43" s="4" t="s">
        <v>21</v>
      </c>
      <c r="H43" s="44" t="s">
        <v>622</v>
      </c>
      <c r="I43" s="5" t="s">
        <v>383</v>
      </c>
      <c r="J43" s="36" t="s">
        <v>122</v>
      </c>
      <c r="K43" s="2"/>
      <c r="L43" s="2"/>
      <c r="M43" s="2"/>
      <c r="N43" s="2"/>
      <c r="O43" s="2"/>
      <c r="P43" s="2"/>
      <c r="Q43" s="2"/>
      <c r="R43" s="3"/>
      <c r="S43" s="2"/>
      <c r="T43" s="2"/>
      <c r="U43" s="2"/>
      <c r="V43" s="2"/>
      <c r="W43" s="2"/>
      <c r="X43" s="2"/>
      <c r="Y43" s="2"/>
      <c r="Z43" s="2"/>
      <c r="AA43" s="2"/>
      <c r="AB43" s="2"/>
      <c r="AC43" s="2"/>
      <c r="AD43" s="2"/>
    </row>
    <row r="44" spans="1:30" ht="22.5" customHeight="1" x14ac:dyDescent="0.25">
      <c r="A44" s="8">
        <f t="shared" si="0"/>
        <v>43</v>
      </c>
      <c r="B44" s="24" t="s">
        <v>392</v>
      </c>
      <c r="C44" s="27">
        <v>42005</v>
      </c>
      <c r="D44" s="4">
        <v>36</v>
      </c>
      <c r="E44" s="4" t="s">
        <v>25</v>
      </c>
      <c r="F44" s="4" t="s">
        <v>34</v>
      </c>
      <c r="G44" s="4" t="s">
        <v>21</v>
      </c>
      <c r="H44" s="44" t="s">
        <v>621</v>
      </c>
      <c r="I44" s="5" t="s">
        <v>383</v>
      </c>
      <c r="J44" s="36" t="s">
        <v>122</v>
      </c>
      <c r="K44" s="2"/>
      <c r="L44" s="2"/>
      <c r="M44" s="2"/>
      <c r="N44" s="2"/>
      <c r="O44" s="2"/>
      <c r="P44" s="2"/>
      <c r="Q44" s="2"/>
      <c r="R44" s="3"/>
      <c r="S44" s="2"/>
      <c r="T44" s="2"/>
      <c r="U44" s="2"/>
      <c r="V44" s="2"/>
      <c r="W44" s="2"/>
      <c r="X44" s="2"/>
      <c r="Y44" s="2"/>
      <c r="Z44" s="2"/>
      <c r="AA44" s="2"/>
      <c r="AB44" s="2"/>
      <c r="AC44" s="2"/>
      <c r="AD44" s="2"/>
    </row>
    <row r="45" spans="1:30" ht="22.5" customHeight="1" x14ac:dyDescent="0.25">
      <c r="A45" s="8">
        <f t="shared" si="0"/>
        <v>44</v>
      </c>
      <c r="B45" s="24" t="s">
        <v>402</v>
      </c>
      <c r="C45" s="27">
        <v>42214</v>
      </c>
      <c r="D45" s="4">
        <v>41</v>
      </c>
      <c r="E45" s="4" t="s">
        <v>25</v>
      </c>
      <c r="F45" s="4" t="s">
        <v>42</v>
      </c>
      <c r="G45" s="4" t="s">
        <v>21</v>
      </c>
      <c r="H45" s="44" t="s">
        <v>622</v>
      </c>
      <c r="I45" s="5" t="s">
        <v>383</v>
      </c>
      <c r="J45" s="36" t="s">
        <v>122</v>
      </c>
      <c r="K45" s="2"/>
      <c r="L45" s="2"/>
      <c r="M45" s="2"/>
      <c r="N45" s="2"/>
      <c r="O45" s="2"/>
      <c r="P45" s="2"/>
      <c r="Q45" s="2"/>
      <c r="R45" s="3"/>
      <c r="S45" s="2"/>
      <c r="T45" s="2"/>
      <c r="U45" s="2"/>
      <c r="V45" s="2"/>
      <c r="W45" s="2"/>
      <c r="X45" s="2"/>
      <c r="Y45" s="2"/>
      <c r="Z45" s="2"/>
      <c r="AA45" s="2"/>
      <c r="AB45" s="2"/>
      <c r="AC45" s="2"/>
      <c r="AD45" s="2"/>
    </row>
    <row r="46" spans="1:30" ht="22.5" customHeight="1" x14ac:dyDescent="0.25">
      <c r="A46" s="8">
        <f t="shared" si="0"/>
        <v>45</v>
      </c>
      <c r="B46" s="24" t="s">
        <v>320</v>
      </c>
      <c r="C46" s="27">
        <v>41640</v>
      </c>
      <c r="D46" s="4">
        <v>30</v>
      </c>
      <c r="E46" s="4" t="s">
        <v>25</v>
      </c>
      <c r="F46" s="4" t="s">
        <v>61</v>
      </c>
      <c r="G46" s="4" t="s">
        <v>21</v>
      </c>
      <c r="H46" s="44" t="s">
        <v>622</v>
      </c>
      <c r="I46" s="5" t="s">
        <v>121</v>
      </c>
      <c r="J46" s="36" t="s">
        <v>122</v>
      </c>
      <c r="K46" s="2"/>
      <c r="L46" s="2"/>
      <c r="M46" s="2"/>
      <c r="N46" s="2"/>
      <c r="O46" s="2"/>
      <c r="P46" s="2"/>
      <c r="Q46" s="2"/>
      <c r="R46" s="3"/>
      <c r="S46" s="2"/>
      <c r="T46" s="2"/>
      <c r="U46" s="2"/>
      <c r="V46" s="2"/>
      <c r="W46" s="2"/>
      <c r="X46" s="2"/>
      <c r="Y46" s="2"/>
      <c r="Z46" s="2"/>
      <c r="AA46" s="2"/>
      <c r="AB46" s="2"/>
      <c r="AC46" s="2"/>
      <c r="AD46" s="2"/>
    </row>
    <row r="47" spans="1:30" ht="22.5" customHeight="1" x14ac:dyDescent="0.25">
      <c r="A47" s="8">
        <f t="shared" si="0"/>
        <v>46</v>
      </c>
      <c r="B47" s="24" t="s">
        <v>394</v>
      </c>
      <c r="C47" s="27">
        <v>41901</v>
      </c>
      <c r="D47" s="4">
        <v>30</v>
      </c>
      <c r="E47" s="4" t="s">
        <v>25</v>
      </c>
      <c r="F47" s="4" t="s">
        <v>20</v>
      </c>
      <c r="G47" s="4" t="s">
        <v>21</v>
      </c>
      <c r="H47" s="44" t="s">
        <v>620</v>
      </c>
      <c r="I47" s="5" t="s">
        <v>383</v>
      </c>
      <c r="J47" s="36" t="s">
        <v>122</v>
      </c>
      <c r="K47" s="2"/>
      <c r="L47" s="2"/>
      <c r="M47" s="2"/>
      <c r="N47" s="2"/>
      <c r="O47" s="2"/>
      <c r="P47" s="2"/>
      <c r="Q47" s="2"/>
      <c r="R47" s="3"/>
      <c r="S47" s="2"/>
      <c r="T47" s="2"/>
      <c r="U47" s="2"/>
      <c r="V47" s="2"/>
      <c r="W47" s="2"/>
      <c r="X47" s="2"/>
      <c r="Y47" s="2"/>
      <c r="Z47" s="2"/>
      <c r="AA47" s="2"/>
      <c r="AB47" s="2"/>
      <c r="AC47" s="2"/>
      <c r="AD47" s="2"/>
    </row>
    <row r="48" spans="1:30" ht="22.5" customHeight="1" x14ac:dyDescent="0.25">
      <c r="A48" s="8">
        <f t="shared" si="0"/>
        <v>47</v>
      </c>
      <c r="B48" s="24" t="s">
        <v>401</v>
      </c>
      <c r="C48" s="27">
        <v>41682</v>
      </c>
      <c r="D48" s="4">
        <v>32</v>
      </c>
      <c r="E48" s="4" t="s">
        <v>25</v>
      </c>
      <c r="F48" s="4" t="s">
        <v>32</v>
      </c>
      <c r="G48" s="4" t="s">
        <v>21</v>
      </c>
      <c r="H48" s="44" t="s">
        <v>620</v>
      </c>
      <c r="I48" s="5" t="s">
        <v>383</v>
      </c>
      <c r="J48" s="36" t="s">
        <v>122</v>
      </c>
      <c r="K48" s="2"/>
      <c r="L48" s="2"/>
      <c r="M48" s="2"/>
      <c r="N48" s="2"/>
      <c r="O48" s="2"/>
      <c r="P48" s="2"/>
      <c r="Q48" s="2"/>
      <c r="R48" s="3"/>
      <c r="S48" s="2"/>
      <c r="T48" s="2"/>
      <c r="U48" s="2"/>
      <c r="V48" s="2"/>
      <c r="W48" s="2"/>
      <c r="X48" s="2"/>
      <c r="Y48" s="2"/>
      <c r="Z48" s="2"/>
      <c r="AA48" s="2"/>
      <c r="AB48" s="2"/>
      <c r="AC48" s="2"/>
      <c r="AD48" s="2"/>
    </row>
    <row r="49" spans="1:30" ht="22.5" customHeight="1" x14ac:dyDescent="0.25">
      <c r="A49" s="8">
        <f t="shared" si="0"/>
        <v>48</v>
      </c>
      <c r="B49" s="24" t="s">
        <v>400</v>
      </c>
      <c r="C49" s="27">
        <v>41856</v>
      </c>
      <c r="D49" s="4">
        <v>52</v>
      </c>
      <c r="E49" s="4" t="s">
        <v>25</v>
      </c>
      <c r="F49" s="4" t="s">
        <v>86</v>
      </c>
      <c r="G49" s="4" t="s">
        <v>21</v>
      </c>
      <c r="H49" s="44" t="s">
        <v>621</v>
      </c>
      <c r="I49" s="5" t="s">
        <v>383</v>
      </c>
      <c r="J49" s="36" t="s">
        <v>122</v>
      </c>
      <c r="K49" s="2"/>
      <c r="L49" s="2"/>
      <c r="M49" s="2"/>
      <c r="N49" s="2"/>
      <c r="O49" s="2"/>
      <c r="P49" s="2"/>
      <c r="Q49" s="2"/>
      <c r="R49" s="3"/>
      <c r="S49" s="2"/>
      <c r="T49" s="2"/>
      <c r="U49" s="2"/>
      <c r="V49" s="2"/>
      <c r="W49" s="2"/>
      <c r="X49" s="2"/>
      <c r="Y49" s="2"/>
      <c r="Z49" s="2"/>
      <c r="AA49" s="2"/>
      <c r="AB49" s="2"/>
      <c r="AC49" s="2"/>
      <c r="AD49" s="2"/>
    </row>
    <row r="50" spans="1:30" ht="22.5" customHeight="1" x14ac:dyDescent="0.25">
      <c r="A50" s="8">
        <f t="shared" si="0"/>
        <v>49</v>
      </c>
      <c r="B50" s="24" t="s">
        <v>195</v>
      </c>
      <c r="C50" s="27">
        <v>41974</v>
      </c>
      <c r="D50" s="4">
        <v>27</v>
      </c>
      <c r="E50" s="4" t="s">
        <v>19</v>
      </c>
      <c r="F50" s="4" t="s">
        <v>28</v>
      </c>
      <c r="G50" s="4" t="s">
        <v>21</v>
      </c>
      <c r="H50" s="44" t="s">
        <v>621</v>
      </c>
      <c r="I50" s="5" t="s">
        <v>121</v>
      </c>
      <c r="J50" s="36" t="s">
        <v>122</v>
      </c>
      <c r="K50" s="2"/>
      <c r="L50" s="2"/>
      <c r="M50" s="2"/>
      <c r="N50" s="2"/>
      <c r="O50" s="2"/>
      <c r="P50" s="2"/>
      <c r="Q50" s="2"/>
      <c r="R50" s="3"/>
      <c r="S50" s="2"/>
      <c r="T50" s="2"/>
      <c r="U50" s="2"/>
      <c r="V50" s="2"/>
      <c r="W50" s="2"/>
      <c r="X50" s="2"/>
      <c r="Y50" s="2"/>
      <c r="Z50" s="2"/>
      <c r="AA50" s="2"/>
      <c r="AB50" s="2"/>
      <c r="AC50" s="2"/>
      <c r="AD50" s="2"/>
    </row>
    <row r="51" spans="1:30" ht="22.5" customHeight="1" x14ac:dyDescent="0.25">
      <c r="A51" s="8">
        <f t="shared" si="0"/>
        <v>50</v>
      </c>
      <c r="B51" s="24" t="s">
        <v>397</v>
      </c>
      <c r="C51" s="27">
        <v>41903</v>
      </c>
      <c r="D51" s="4">
        <v>47</v>
      </c>
      <c r="E51" s="4" t="s">
        <v>19</v>
      </c>
      <c r="F51" s="4" t="s">
        <v>86</v>
      </c>
      <c r="G51" s="4" t="s">
        <v>21</v>
      </c>
      <c r="H51" s="44" t="s">
        <v>620</v>
      </c>
      <c r="I51" s="5" t="s">
        <v>383</v>
      </c>
      <c r="J51" s="36" t="s">
        <v>122</v>
      </c>
      <c r="K51" s="2"/>
      <c r="L51" s="2"/>
      <c r="M51" s="2"/>
      <c r="N51" s="2"/>
      <c r="O51" s="2"/>
      <c r="P51" s="2"/>
      <c r="Q51" s="2"/>
      <c r="R51" s="3"/>
      <c r="S51" s="2"/>
      <c r="T51" s="2"/>
      <c r="U51" s="2"/>
      <c r="V51" s="2"/>
      <c r="W51" s="2"/>
      <c r="X51" s="2"/>
      <c r="Y51" s="2"/>
      <c r="Z51" s="2"/>
      <c r="AA51" s="2"/>
      <c r="AB51" s="2"/>
      <c r="AC51" s="2"/>
      <c r="AD51" s="2"/>
    </row>
    <row r="52" spans="1:30" ht="22.5" customHeight="1" x14ac:dyDescent="0.25">
      <c r="A52" s="8">
        <f t="shared" si="0"/>
        <v>51</v>
      </c>
      <c r="B52" s="24" t="s">
        <v>152</v>
      </c>
      <c r="C52" s="27">
        <v>41616</v>
      </c>
      <c r="D52" s="4">
        <v>40</v>
      </c>
      <c r="E52" s="4" t="s">
        <v>25</v>
      </c>
      <c r="F52" s="4" t="s">
        <v>20</v>
      </c>
      <c r="G52" s="4" t="s">
        <v>21</v>
      </c>
      <c r="H52" s="44" t="s">
        <v>622</v>
      </c>
      <c r="I52" s="5" t="s">
        <v>121</v>
      </c>
      <c r="J52" s="36" t="s">
        <v>122</v>
      </c>
      <c r="K52" s="2"/>
      <c r="L52" s="2"/>
      <c r="M52" s="2"/>
      <c r="N52" s="2"/>
      <c r="O52" s="2"/>
      <c r="P52" s="2"/>
      <c r="Q52" s="2"/>
      <c r="R52" s="3"/>
      <c r="S52" s="2"/>
      <c r="T52" s="2"/>
      <c r="U52" s="2"/>
      <c r="V52" s="2"/>
      <c r="W52" s="2"/>
      <c r="X52" s="2"/>
      <c r="Y52" s="2"/>
      <c r="Z52" s="2"/>
      <c r="AA52" s="2"/>
      <c r="AB52" s="2"/>
      <c r="AC52" s="2"/>
      <c r="AD52" s="2"/>
    </row>
    <row r="53" spans="1:30" ht="22.5" customHeight="1" x14ac:dyDescent="0.25">
      <c r="A53" s="8">
        <f t="shared" si="0"/>
        <v>52</v>
      </c>
      <c r="B53" s="24" t="s">
        <v>284</v>
      </c>
      <c r="C53" s="27">
        <v>41540</v>
      </c>
      <c r="D53" s="4">
        <v>40</v>
      </c>
      <c r="E53" s="4" t="s">
        <v>25</v>
      </c>
      <c r="F53" s="4" t="s">
        <v>39</v>
      </c>
      <c r="G53" s="4" t="s">
        <v>21</v>
      </c>
      <c r="H53" s="44" t="s">
        <v>621</v>
      </c>
      <c r="I53" s="5" t="s">
        <v>121</v>
      </c>
      <c r="J53" s="36" t="s">
        <v>122</v>
      </c>
      <c r="K53" s="2"/>
      <c r="L53" s="2"/>
      <c r="M53" s="2"/>
      <c r="N53" s="2"/>
      <c r="O53" s="2"/>
      <c r="P53" s="2"/>
      <c r="Q53" s="2"/>
      <c r="R53" s="3"/>
      <c r="S53" s="2"/>
      <c r="T53" s="2"/>
      <c r="U53" s="2"/>
      <c r="V53" s="2"/>
      <c r="W53" s="2"/>
      <c r="X53" s="2"/>
      <c r="Y53" s="2"/>
      <c r="Z53" s="2"/>
      <c r="AA53" s="2"/>
      <c r="AB53" s="2"/>
      <c r="AC53" s="2"/>
      <c r="AD53" s="2"/>
    </row>
    <row r="54" spans="1:30" ht="22.5" customHeight="1" x14ac:dyDescent="0.25">
      <c r="A54" s="8">
        <f t="shared" si="0"/>
        <v>53</v>
      </c>
      <c r="B54" s="24" t="s">
        <v>403</v>
      </c>
      <c r="C54" s="27">
        <v>41415</v>
      </c>
      <c r="D54" s="4">
        <v>43</v>
      </c>
      <c r="E54" s="4" t="s">
        <v>25</v>
      </c>
      <c r="F54" s="4" t="s">
        <v>86</v>
      </c>
      <c r="G54" s="4" t="s">
        <v>21</v>
      </c>
      <c r="H54" s="44" t="s">
        <v>622</v>
      </c>
      <c r="I54" s="5" t="s">
        <v>383</v>
      </c>
      <c r="J54" s="36" t="s">
        <v>122</v>
      </c>
      <c r="K54" s="2"/>
      <c r="L54" s="2"/>
      <c r="M54" s="2"/>
      <c r="N54" s="2"/>
      <c r="O54" s="2"/>
      <c r="P54" s="2"/>
      <c r="Q54" s="2"/>
      <c r="R54" s="3"/>
      <c r="S54" s="2"/>
      <c r="T54" s="2"/>
      <c r="U54" s="2"/>
      <c r="V54" s="2"/>
      <c r="W54" s="2"/>
      <c r="X54" s="2"/>
      <c r="Y54" s="2"/>
      <c r="Z54" s="2"/>
      <c r="AA54" s="2"/>
      <c r="AB54" s="2"/>
      <c r="AC54" s="2"/>
      <c r="AD54" s="2"/>
    </row>
    <row r="55" spans="1:30" ht="22.5" customHeight="1" x14ac:dyDescent="0.25">
      <c r="A55" s="8">
        <f t="shared" si="0"/>
        <v>54</v>
      </c>
      <c r="B55" s="24" t="s">
        <v>382</v>
      </c>
      <c r="C55" s="27">
        <v>41533</v>
      </c>
      <c r="D55" s="4">
        <v>53</v>
      </c>
      <c r="E55" s="4" t="s">
        <v>25</v>
      </c>
      <c r="F55" s="4" t="s">
        <v>86</v>
      </c>
      <c r="G55" s="4" t="s">
        <v>21</v>
      </c>
      <c r="H55" s="44" t="s">
        <v>622</v>
      </c>
      <c r="I55" s="5" t="s">
        <v>383</v>
      </c>
      <c r="J55" s="36" t="s">
        <v>122</v>
      </c>
      <c r="K55" s="2"/>
      <c r="L55" s="2"/>
      <c r="M55" s="2"/>
      <c r="N55" s="2"/>
      <c r="O55" s="2"/>
      <c r="P55" s="2"/>
      <c r="Q55" s="2"/>
      <c r="R55" s="3"/>
      <c r="S55" s="2"/>
      <c r="T55" s="2"/>
      <c r="U55" s="2"/>
      <c r="V55" s="2"/>
      <c r="W55" s="2"/>
      <c r="X55" s="2"/>
      <c r="Y55" s="2"/>
      <c r="Z55" s="2"/>
      <c r="AA55" s="2"/>
      <c r="AB55" s="2"/>
      <c r="AC55" s="2"/>
      <c r="AD55" s="2"/>
    </row>
    <row r="56" spans="1:30" ht="22.5" customHeight="1" x14ac:dyDescent="0.25">
      <c r="A56" s="8">
        <f t="shared" si="0"/>
        <v>55</v>
      </c>
      <c r="B56" s="24" t="s">
        <v>393</v>
      </c>
      <c r="C56" s="27">
        <v>41549</v>
      </c>
      <c r="D56" s="4">
        <v>40</v>
      </c>
      <c r="E56" s="4" t="s">
        <v>19</v>
      </c>
      <c r="F56" s="4" t="s">
        <v>34</v>
      </c>
      <c r="G56" s="4" t="s">
        <v>21</v>
      </c>
      <c r="H56" s="44" t="s">
        <v>620</v>
      </c>
      <c r="I56" s="5" t="s">
        <v>383</v>
      </c>
      <c r="J56" s="36" t="s">
        <v>122</v>
      </c>
      <c r="K56" s="2"/>
      <c r="L56" s="2"/>
      <c r="M56" s="2"/>
      <c r="N56" s="2"/>
      <c r="O56" s="2"/>
      <c r="P56" s="2"/>
      <c r="Q56" s="2"/>
      <c r="R56" s="3"/>
      <c r="S56" s="2"/>
      <c r="T56" s="2"/>
      <c r="U56" s="2"/>
      <c r="V56" s="2"/>
      <c r="W56" s="2"/>
      <c r="X56" s="2"/>
      <c r="Y56" s="2"/>
      <c r="Z56" s="2"/>
      <c r="AA56" s="2"/>
      <c r="AB56" s="2"/>
      <c r="AC56" s="2"/>
      <c r="AD56" s="2"/>
    </row>
    <row r="57" spans="1:30" ht="22.5" customHeight="1" x14ac:dyDescent="0.25">
      <c r="A57" s="8">
        <f t="shared" si="0"/>
        <v>56</v>
      </c>
      <c r="B57" s="24" t="s">
        <v>398</v>
      </c>
      <c r="C57" s="27">
        <v>41412</v>
      </c>
      <c r="D57" s="4">
        <v>56</v>
      </c>
      <c r="E57" s="4" t="s">
        <v>19</v>
      </c>
      <c r="F57" s="4" t="s">
        <v>61</v>
      </c>
      <c r="G57" s="4" t="s">
        <v>21</v>
      </c>
      <c r="H57" s="44" t="s">
        <v>620</v>
      </c>
      <c r="I57" s="5" t="s">
        <v>383</v>
      </c>
      <c r="J57" s="36" t="s">
        <v>122</v>
      </c>
      <c r="K57" s="2"/>
      <c r="L57" s="2"/>
      <c r="M57" s="2"/>
      <c r="N57" s="2"/>
      <c r="O57" s="2"/>
      <c r="P57" s="2"/>
      <c r="Q57" s="2"/>
      <c r="R57" s="3"/>
      <c r="S57" s="2"/>
      <c r="T57" s="2"/>
      <c r="U57" s="2"/>
      <c r="V57" s="2"/>
      <c r="W57" s="2"/>
      <c r="X57" s="2"/>
      <c r="Y57" s="2"/>
      <c r="Z57" s="2"/>
      <c r="AA57" s="2"/>
      <c r="AB57" s="2"/>
      <c r="AC57" s="2"/>
      <c r="AD57" s="2"/>
    </row>
    <row r="58" spans="1:30" ht="22.5" customHeight="1" x14ac:dyDescent="0.25">
      <c r="A58" s="8">
        <f t="shared" si="0"/>
        <v>57</v>
      </c>
      <c r="B58" s="24" t="s">
        <v>126</v>
      </c>
      <c r="C58" s="27">
        <v>41581</v>
      </c>
      <c r="D58" s="4">
        <v>30</v>
      </c>
      <c r="E58" s="4" t="s">
        <v>19</v>
      </c>
      <c r="F58" s="4" t="s">
        <v>28</v>
      </c>
      <c r="G58" s="4" t="s">
        <v>51</v>
      </c>
      <c r="H58" s="44" t="s">
        <v>621</v>
      </c>
      <c r="I58" s="5" t="s">
        <v>121</v>
      </c>
      <c r="J58" s="36" t="s">
        <v>122</v>
      </c>
      <c r="K58" s="2"/>
      <c r="L58" s="2"/>
      <c r="M58" s="2"/>
      <c r="N58" s="2"/>
      <c r="O58" s="2"/>
      <c r="P58" s="2"/>
      <c r="Q58" s="2"/>
      <c r="R58" s="3"/>
      <c r="S58" s="2"/>
      <c r="T58" s="2"/>
      <c r="U58" s="2"/>
      <c r="V58" s="2"/>
      <c r="W58" s="2"/>
      <c r="X58" s="2"/>
      <c r="Y58" s="2"/>
      <c r="Z58" s="2"/>
      <c r="AA58" s="2"/>
      <c r="AB58" s="2"/>
      <c r="AC58" s="2"/>
      <c r="AD58" s="2"/>
    </row>
    <row r="59" spans="1:30" ht="22.5" customHeight="1" x14ac:dyDescent="0.25">
      <c r="A59" s="8">
        <f t="shared" si="0"/>
        <v>58</v>
      </c>
      <c r="B59" s="24" t="s">
        <v>125</v>
      </c>
      <c r="C59" s="27">
        <v>41219</v>
      </c>
      <c r="D59" s="4">
        <v>43</v>
      </c>
      <c r="E59" s="4" t="s">
        <v>25</v>
      </c>
      <c r="F59" s="4" t="s">
        <v>86</v>
      </c>
      <c r="G59" s="4" t="s">
        <v>21</v>
      </c>
      <c r="H59" s="44" t="s">
        <v>621</v>
      </c>
      <c r="I59" s="5" t="s">
        <v>121</v>
      </c>
      <c r="J59" s="36" t="s">
        <v>122</v>
      </c>
      <c r="K59" s="2"/>
      <c r="L59" s="2"/>
      <c r="M59" s="2"/>
      <c r="N59" s="2"/>
      <c r="O59" s="2"/>
      <c r="P59" s="2"/>
      <c r="Q59" s="2"/>
      <c r="R59" s="3"/>
      <c r="S59" s="2"/>
      <c r="T59" s="2"/>
      <c r="U59" s="2"/>
      <c r="V59" s="2"/>
      <c r="W59" s="2"/>
      <c r="X59" s="2"/>
      <c r="Y59" s="2"/>
      <c r="Z59" s="2"/>
      <c r="AA59" s="2"/>
      <c r="AB59" s="2"/>
      <c r="AC59" s="2"/>
      <c r="AD59" s="2"/>
    </row>
    <row r="60" spans="1:30" ht="22.5" customHeight="1" x14ac:dyDescent="0.25">
      <c r="A60" s="8">
        <f t="shared" si="0"/>
        <v>59</v>
      </c>
      <c r="B60" s="24" t="s">
        <v>319</v>
      </c>
      <c r="C60" s="27">
        <v>41022</v>
      </c>
      <c r="D60" s="4">
        <v>40</v>
      </c>
      <c r="E60" s="4" t="s">
        <v>19</v>
      </c>
      <c r="F60" s="4" t="s">
        <v>61</v>
      </c>
      <c r="G60" s="4" t="s">
        <v>21</v>
      </c>
      <c r="H60" s="44" t="s">
        <v>620</v>
      </c>
      <c r="I60" s="5" t="s">
        <v>121</v>
      </c>
      <c r="J60" s="36" t="s">
        <v>122</v>
      </c>
      <c r="K60" s="2"/>
      <c r="L60" s="2"/>
      <c r="M60" s="2"/>
      <c r="N60" s="2"/>
      <c r="O60" s="2"/>
      <c r="P60" s="2"/>
      <c r="Q60" s="2"/>
      <c r="R60" s="3"/>
      <c r="S60" s="2"/>
      <c r="T60" s="2"/>
      <c r="U60" s="2"/>
      <c r="V60" s="2"/>
      <c r="W60" s="2"/>
      <c r="X60" s="2"/>
      <c r="Y60" s="2"/>
      <c r="Z60" s="2"/>
      <c r="AA60" s="2"/>
      <c r="AB60" s="2"/>
      <c r="AC60" s="2"/>
      <c r="AD60" s="2"/>
    </row>
    <row r="61" spans="1:30" ht="22.5" customHeight="1" x14ac:dyDescent="0.25">
      <c r="A61" s="8">
        <f t="shared" si="0"/>
        <v>60</v>
      </c>
      <c r="B61" s="24" t="s">
        <v>340</v>
      </c>
      <c r="C61" s="27">
        <v>40931</v>
      </c>
      <c r="D61" s="4">
        <v>46</v>
      </c>
      <c r="E61" s="4" t="s">
        <v>19</v>
      </c>
      <c r="F61" s="4" t="s">
        <v>37</v>
      </c>
      <c r="G61" s="4" t="s">
        <v>21</v>
      </c>
      <c r="H61" s="44" t="s">
        <v>622</v>
      </c>
      <c r="I61" s="5" t="s">
        <v>121</v>
      </c>
      <c r="J61" s="36" t="s">
        <v>122</v>
      </c>
      <c r="K61" s="2"/>
      <c r="L61" s="2"/>
      <c r="M61" s="2"/>
      <c r="N61" s="2"/>
      <c r="O61" s="2"/>
      <c r="P61" s="2"/>
      <c r="Q61" s="2"/>
      <c r="R61" s="3"/>
      <c r="S61" s="2"/>
      <c r="T61" s="2"/>
      <c r="U61" s="2"/>
      <c r="V61" s="2"/>
      <c r="W61" s="2"/>
      <c r="X61" s="2"/>
      <c r="Y61" s="2"/>
      <c r="Z61" s="2"/>
      <c r="AA61" s="2"/>
      <c r="AB61" s="2"/>
      <c r="AC61" s="2"/>
      <c r="AD61" s="2"/>
    </row>
    <row r="62" spans="1:30" ht="22.5" customHeight="1" x14ac:dyDescent="0.25">
      <c r="A62" s="8">
        <f t="shared" si="0"/>
        <v>61</v>
      </c>
      <c r="B62" s="24" t="s">
        <v>229</v>
      </c>
      <c r="C62" s="27">
        <v>41102</v>
      </c>
      <c r="D62" s="4">
        <v>30</v>
      </c>
      <c r="E62" s="4" t="s">
        <v>19</v>
      </c>
      <c r="F62" s="4" t="s">
        <v>28</v>
      </c>
      <c r="G62" s="4" t="s">
        <v>51</v>
      </c>
      <c r="H62" s="44" t="s">
        <v>621</v>
      </c>
      <c r="I62" s="5" t="s">
        <v>121</v>
      </c>
      <c r="J62" s="36" t="s">
        <v>122</v>
      </c>
      <c r="K62" s="2"/>
      <c r="L62" s="2"/>
      <c r="M62" s="2"/>
      <c r="N62" s="2"/>
      <c r="O62" s="2"/>
      <c r="P62" s="2"/>
      <c r="Q62" s="2"/>
      <c r="R62" s="3"/>
      <c r="S62" s="2"/>
      <c r="T62" s="2"/>
      <c r="U62" s="2"/>
      <c r="V62" s="2"/>
      <c r="W62" s="2"/>
      <c r="X62" s="2"/>
      <c r="Y62" s="2"/>
      <c r="Z62" s="2"/>
      <c r="AA62" s="2"/>
      <c r="AB62" s="2"/>
      <c r="AC62" s="2"/>
      <c r="AD62" s="2"/>
    </row>
    <row r="63" spans="1:30" ht="22.5" customHeight="1" x14ac:dyDescent="0.25">
      <c r="A63" s="8">
        <f t="shared" si="0"/>
        <v>62</v>
      </c>
      <c r="B63" s="24" t="s">
        <v>384</v>
      </c>
      <c r="C63" s="27">
        <v>40810</v>
      </c>
      <c r="D63" s="4">
        <v>54</v>
      </c>
      <c r="E63" s="4" t="s">
        <v>25</v>
      </c>
      <c r="F63" s="4" t="s">
        <v>34</v>
      </c>
      <c r="G63" s="4" t="s">
        <v>21</v>
      </c>
      <c r="H63" s="44" t="s">
        <v>622</v>
      </c>
      <c r="I63" s="5" t="s">
        <v>383</v>
      </c>
      <c r="J63" s="36" t="s">
        <v>122</v>
      </c>
      <c r="K63" s="2"/>
      <c r="L63" s="2"/>
      <c r="M63" s="2"/>
      <c r="N63" s="2"/>
      <c r="O63" s="2"/>
      <c r="P63" s="2"/>
      <c r="Q63" s="2"/>
      <c r="R63" s="3"/>
      <c r="S63" s="2"/>
      <c r="T63" s="2"/>
      <c r="U63" s="2"/>
      <c r="V63" s="2"/>
      <c r="W63" s="2"/>
      <c r="X63" s="2"/>
      <c r="Y63" s="2"/>
      <c r="Z63" s="2"/>
      <c r="AA63" s="2"/>
      <c r="AB63" s="2"/>
      <c r="AC63" s="2"/>
      <c r="AD63" s="2"/>
    </row>
    <row r="64" spans="1:30" ht="22.5" customHeight="1" x14ac:dyDescent="0.25">
      <c r="A64" s="8">
        <f t="shared" si="0"/>
        <v>63</v>
      </c>
      <c r="B64" s="24" t="s">
        <v>171</v>
      </c>
      <c r="C64" s="27">
        <v>40240</v>
      </c>
      <c r="D64" s="4">
        <v>37</v>
      </c>
      <c r="E64" s="4" t="s">
        <v>19</v>
      </c>
      <c r="F64" s="4" t="s">
        <v>39</v>
      </c>
      <c r="G64" s="4" t="s">
        <v>21</v>
      </c>
      <c r="H64" s="44" t="s">
        <v>622</v>
      </c>
      <c r="I64" s="5" t="s">
        <v>121</v>
      </c>
      <c r="J64" s="36" t="s">
        <v>122</v>
      </c>
      <c r="K64" s="2"/>
      <c r="L64" s="2"/>
      <c r="M64" s="2"/>
      <c r="N64" s="2"/>
      <c r="O64" s="2"/>
      <c r="P64" s="2"/>
      <c r="Q64" s="2"/>
      <c r="R64" s="3"/>
      <c r="S64" s="2"/>
      <c r="T64" s="2"/>
      <c r="U64" s="2"/>
      <c r="V64" s="2"/>
      <c r="W64" s="2"/>
      <c r="X64" s="2"/>
      <c r="Y64" s="2"/>
      <c r="Z64" s="2"/>
      <c r="AA64" s="2"/>
      <c r="AB64" s="2"/>
      <c r="AC64" s="2"/>
      <c r="AD64" s="2"/>
    </row>
    <row r="65" spans="1:30" ht="22.5" customHeight="1" x14ac:dyDescent="0.25">
      <c r="A65" s="8">
        <f t="shared" si="0"/>
        <v>64</v>
      </c>
      <c r="B65" s="24" t="s">
        <v>613</v>
      </c>
      <c r="C65" s="28">
        <v>40192</v>
      </c>
      <c r="D65" s="4">
        <v>42</v>
      </c>
      <c r="E65" s="4" t="s">
        <v>614</v>
      </c>
      <c r="F65" s="4" t="s">
        <v>42</v>
      </c>
      <c r="G65" s="4" t="s">
        <v>21</v>
      </c>
      <c r="H65" s="44" t="s">
        <v>620</v>
      </c>
      <c r="I65" s="5" t="s">
        <v>121</v>
      </c>
      <c r="J65" s="36" t="s">
        <v>122</v>
      </c>
      <c r="K65" s="2"/>
      <c r="L65" s="2"/>
      <c r="M65" s="2"/>
      <c r="N65" s="2"/>
      <c r="O65" s="2"/>
      <c r="P65" s="2"/>
      <c r="Q65" s="2"/>
      <c r="R65" s="3"/>
      <c r="S65" s="2"/>
      <c r="T65" s="2"/>
      <c r="U65" s="2"/>
      <c r="V65" s="2"/>
      <c r="W65" s="2"/>
      <c r="X65" s="2"/>
      <c r="Y65" s="2"/>
      <c r="Z65" s="2"/>
      <c r="AA65" s="2"/>
      <c r="AB65" s="2"/>
      <c r="AC65" s="2"/>
      <c r="AD65" s="2"/>
    </row>
    <row r="66" spans="1:30" ht="22.5" customHeight="1" x14ac:dyDescent="0.25">
      <c r="A66" s="8">
        <f t="shared" si="0"/>
        <v>65</v>
      </c>
      <c r="B66" s="24" t="s">
        <v>170</v>
      </c>
      <c r="C66" s="27">
        <v>40468</v>
      </c>
      <c r="D66" s="4">
        <v>49</v>
      </c>
      <c r="E66" s="4" t="s">
        <v>19</v>
      </c>
      <c r="F66" s="4" t="s">
        <v>39</v>
      </c>
      <c r="G66" s="4" t="s">
        <v>21</v>
      </c>
      <c r="H66" s="44" t="s">
        <v>620</v>
      </c>
      <c r="I66" s="5" t="s">
        <v>121</v>
      </c>
      <c r="J66" s="36" t="s">
        <v>122</v>
      </c>
      <c r="K66" s="2"/>
      <c r="L66" s="2"/>
      <c r="M66" s="2"/>
      <c r="N66" s="2"/>
      <c r="O66" s="2"/>
      <c r="P66" s="2"/>
      <c r="Q66" s="2"/>
      <c r="R66" s="3"/>
      <c r="S66" s="2"/>
      <c r="T66" s="2"/>
      <c r="U66" s="2"/>
      <c r="V66" s="2"/>
      <c r="W66" s="2"/>
      <c r="X66" s="2"/>
      <c r="Y66" s="2"/>
      <c r="Z66" s="2"/>
      <c r="AA66" s="2"/>
      <c r="AB66" s="2"/>
      <c r="AC66" s="2"/>
      <c r="AD66" s="2"/>
    </row>
    <row r="67" spans="1:30" ht="22.5" customHeight="1" x14ac:dyDescent="0.25">
      <c r="A67" s="8">
        <f t="shared" ref="A67:A130" si="1">A66+1</f>
        <v>66</v>
      </c>
      <c r="B67" s="24" t="s">
        <v>391</v>
      </c>
      <c r="C67" s="27">
        <v>40872</v>
      </c>
      <c r="D67" s="4">
        <v>49</v>
      </c>
      <c r="E67" s="4" t="s">
        <v>19</v>
      </c>
      <c r="F67" s="4" t="s">
        <v>34</v>
      </c>
      <c r="G67" s="4" t="s">
        <v>21</v>
      </c>
      <c r="H67" s="44" t="s">
        <v>621</v>
      </c>
      <c r="I67" s="5" t="s">
        <v>383</v>
      </c>
      <c r="J67" s="36" t="s">
        <v>122</v>
      </c>
      <c r="K67" s="2"/>
      <c r="L67" s="2"/>
      <c r="M67" s="2"/>
      <c r="N67" s="2"/>
      <c r="O67" s="2"/>
      <c r="P67" s="2"/>
      <c r="Q67" s="2"/>
      <c r="R67" s="3"/>
      <c r="S67" s="2"/>
      <c r="T67" s="2"/>
      <c r="U67" s="2"/>
      <c r="V67" s="2"/>
      <c r="W67" s="2"/>
      <c r="X67" s="2"/>
      <c r="Y67" s="2"/>
      <c r="Z67" s="2"/>
      <c r="AA67" s="2"/>
      <c r="AB67" s="2"/>
      <c r="AC67" s="2"/>
      <c r="AD67" s="2"/>
    </row>
    <row r="68" spans="1:30" ht="22.5" customHeight="1" x14ac:dyDescent="0.25">
      <c r="A68" s="8">
        <f t="shared" si="1"/>
        <v>67</v>
      </c>
      <c r="B68" s="24" t="s">
        <v>172</v>
      </c>
      <c r="C68" s="27">
        <v>40344</v>
      </c>
      <c r="D68" s="4">
        <v>50</v>
      </c>
      <c r="E68" s="4" t="s">
        <v>19</v>
      </c>
      <c r="F68" s="4" t="s">
        <v>39</v>
      </c>
      <c r="G68" s="4" t="s">
        <v>21</v>
      </c>
      <c r="H68" s="44" t="s">
        <v>621</v>
      </c>
      <c r="I68" s="5" t="s">
        <v>121</v>
      </c>
      <c r="J68" s="36" t="s">
        <v>122</v>
      </c>
      <c r="K68" s="2"/>
      <c r="L68" s="2"/>
      <c r="M68" s="2"/>
      <c r="N68" s="2"/>
      <c r="O68" s="2"/>
      <c r="P68" s="2"/>
      <c r="Q68" s="2"/>
      <c r="R68" s="3"/>
      <c r="S68" s="2"/>
      <c r="T68" s="2"/>
      <c r="U68" s="2"/>
      <c r="V68" s="2"/>
      <c r="W68" s="2"/>
      <c r="X68" s="2"/>
      <c r="Y68" s="2"/>
      <c r="Z68" s="2"/>
      <c r="AA68" s="2"/>
      <c r="AB68" s="2"/>
      <c r="AC68" s="2"/>
      <c r="AD68" s="2"/>
    </row>
    <row r="69" spans="1:30" ht="22.5" customHeight="1" x14ac:dyDescent="0.25">
      <c r="A69" s="8">
        <f t="shared" si="1"/>
        <v>68</v>
      </c>
      <c r="B69" s="24" t="s">
        <v>180</v>
      </c>
      <c r="C69" s="27">
        <v>40204</v>
      </c>
      <c r="D69" s="4">
        <v>50</v>
      </c>
      <c r="E69" s="4" t="s">
        <v>19</v>
      </c>
      <c r="F69" s="4" t="s">
        <v>61</v>
      </c>
      <c r="G69" s="4" t="s">
        <v>51</v>
      </c>
      <c r="H69" s="44" t="s">
        <v>620</v>
      </c>
      <c r="I69" s="5" t="s">
        <v>121</v>
      </c>
      <c r="J69" s="36" t="s">
        <v>122</v>
      </c>
      <c r="K69" s="2"/>
      <c r="L69" s="2"/>
      <c r="M69" s="2"/>
      <c r="N69" s="2"/>
      <c r="O69" s="2"/>
      <c r="P69" s="2"/>
      <c r="Q69" s="2"/>
      <c r="R69" s="3"/>
      <c r="S69" s="2"/>
      <c r="T69" s="2"/>
      <c r="U69" s="2"/>
      <c r="V69" s="2"/>
      <c r="W69" s="2"/>
      <c r="X69" s="2"/>
      <c r="Y69" s="2"/>
      <c r="Z69" s="2"/>
      <c r="AA69" s="2"/>
      <c r="AB69" s="2"/>
      <c r="AC69" s="2"/>
      <c r="AD69" s="2"/>
    </row>
    <row r="70" spans="1:30" ht="22.5" customHeight="1" x14ac:dyDescent="0.25">
      <c r="A70" s="8">
        <f t="shared" si="1"/>
        <v>69</v>
      </c>
      <c r="B70" s="24" t="s">
        <v>387</v>
      </c>
      <c r="C70" s="27">
        <v>39981</v>
      </c>
      <c r="D70" s="4">
        <v>65</v>
      </c>
      <c r="E70" s="4" t="s">
        <v>19</v>
      </c>
      <c r="F70" s="4" t="s">
        <v>32</v>
      </c>
      <c r="G70" s="4" t="s">
        <v>21</v>
      </c>
      <c r="H70" s="44" t="s">
        <v>622</v>
      </c>
      <c r="I70" s="5" t="s">
        <v>383</v>
      </c>
      <c r="J70" s="36" t="s">
        <v>122</v>
      </c>
      <c r="K70" s="2"/>
      <c r="L70" s="2"/>
      <c r="M70" s="2"/>
      <c r="N70" s="2"/>
      <c r="O70" s="2"/>
      <c r="P70" s="2"/>
      <c r="Q70" s="2"/>
      <c r="R70" s="3"/>
      <c r="S70" s="2"/>
      <c r="T70" s="2"/>
      <c r="U70" s="2"/>
      <c r="V70" s="2"/>
      <c r="W70" s="2"/>
      <c r="X70" s="2"/>
      <c r="Y70" s="2"/>
      <c r="Z70" s="2"/>
      <c r="AA70" s="2"/>
      <c r="AB70" s="2"/>
      <c r="AC70" s="2"/>
      <c r="AD70" s="2"/>
    </row>
    <row r="71" spans="1:30" ht="22.5" customHeight="1" x14ac:dyDescent="0.25">
      <c r="A71" s="8">
        <f t="shared" si="1"/>
        <v>70</v>
      </c>
      <c r="B71" s="24" t="s">
        <v>408</v>
      </c>
      <c r="C71" s="27">
        <v>39046</v>
      </c>
      <c r="D71" s="4">
        <v>51</v>
      </c>
      <c r="E71" s="4" t="s">
        <v>25</v>
      </c>
      <c r="F71" s="4" t="s">
        <v>26</v>
      </c>
      <c r="G71" s="4" t="s">
        <v>21</v>
      </c>
      <c r="H71" s="44" t="s">
        <v>621</v>
      </c>
      <c r="I71" s="5" t="s">
        <v>383</v>
      </c>
      <c r="J71" s="36" t="s">
        <v>122</v>
      </c>
      <c r="K71" s="2"/>
      <c r="L71" s="2"/>
      <c r="M71" s="2"/>
      <c r="N71" s="2"/>
      <c r="O71" s="2"/>
      <c r="P71" s="2"/>
      <c r="Q71" s="2"/>
      <c r="R71" s="3"/>
      <c r="S71" s="2"/>
      <c r="T71" s="2"/>
      <c r="U71" s="2"/>
      <c r="V71" s="2"/>
      <c r="W71" s="2"/>
      <c r="X71" s="2"/>
      <c r="Y71" s="2"/>
      <c r="Z71" s="2"/>
      <c r="AA71" s="2"/>
      <c r="AB71" s="2"/>
      <c r="AC71" s="2"/>
      <c r="AD71" s="2"/>
    </row>
    <row r="72" spans="1:30" ht="22.5" customHeight="1" x14ac:dyDescent="0.25">
      <c r="A72" s="8">
        <f t="shared" si="1"/>
        <v>71</v>
      </c>
      <c r="B72" s="24" t="s">
        <v>615</v>
      </c>
      <c r="C72" s="27">
        <v>37856</v>
      </c>
      <c r="D72" s="4">
        <v>52</v>
      </c>
      <c r="E72" s="4" t="s">
        <v>25</v>
      </c>
      <c r="F72" s="4" t="s">
        <v>608</v>
      </c>
      <c r="G72" s="4" t="s">
        <v>21</v>
      </c>
      <c r="H72" s="44" t="s">
        <v>622</v>
      </c>
      <c r="I72" s="5" t="s">
        <v>584</v>
      </c>
      <c r="J72" s="36" t="s">
        <v>122</v>
      </c>
      <c r="K72" s="2"/>
      <c r="L72" s="2"/>
      <c r="M72" s="2"/>
      <c r="N72" s="2"/>
      <c r="O72" s="2"/>
      <c r="P72" s="2"/>
      <c r="Q72" s="2"/>
      <c r="R72" s="3"/>
      <c r="S72" s="2"/>
      <c r="T72" s="2"/>
      <c r="U72" s="2"/>
      <c r="V72" s="2"/>
      <c r="W72" s="2"/>
      <c r="X72" s="2"/>
      <c r="Y72" s="2"/>
      <c r="Z72" s="2"/>
      <c r="AA72" s="2"/>
      <c r="AB72" s="2"/>
      <c r="AC72" s="2"/>
      <c r="AD72" s="2"/>
    </row>
    <row r="73" spans="1:30" ht="22.5" customHeight="1" x14ac:dyDescent="0.25">
      <c r="A73" s="8">
        <f t="shared" si="1"/>
        <v>72</v>
      </c>
      <c r="B73" s="24" t="s">
        <v>139</v>
      </c>
      <c r="C73" s="27">
        <v>41080</v>
      </c>
      <c r="D73" s="4">
        <v>40</v>
      </c>
      <c r="E73" s="4" t="s">
        <v>25</v>
      </c>
      <c r="F73" s="4" t="s">
        <v>61</v>
      </c>
      <c r="G73" s="4" t="s">
        <v>21</v>
      </c>
      <c r="H73" s="44" t="s">
        <v>622</v>
      </c>
      <c r="I73" s="5" t="s">
        <v>121</v>
      </c>
      <c r="J73" s="36" t="s">
        <v>140</v>
      </c>
      <c r="K73" s="2"/>
      <c r="L73" s="2"/>
      <c r="M73" s="2"/>
      <c r="N73" s="2"/>
      <c r="O73" s="2"/>
      <c r="P73" s="2"/>
      <c r="Q73" s="2"/>
      <c r="R73" s="3"/>
      <c r="S73" s="2"/>
      <c r="T73" s="2"/>
      <c r="U73" s="2"/>
      <c r="V73" s="2"/>
      <c r="W73" s="2"/>
      <c r="X73" s="2"/>
      <c r="Y73" s="2"/>
      <c r="Z73" s="2"/>
      <c r="AA73" s="2"/>
      <c r="AB73" s="2"/>
      <c r="AC73" s="2"/>
      <c r="AD73" s="2"/>
    </row>
    <row r="74" spans="1:30" ht="22.5" customHeight="1" x14ac:dyDescent="0.25">
      <c r="A74" s="8">
        <f t="shared" si="1"/>
        <v>73</v>
      </c>
      <c r="B74" s="24" t="s">
        <v>573</v>
      </c>
      <c r="C74" s="29">
        <v>42541</v>
      </c>
      <c r="D74" s="16">
        <v>40</v>
      </c>
      <c r="E74" s="16" t="s">
        <v>25</v>
      </c>
      <c r="F74" s="16" t="s">
        <v>39</v>
      </c>
      <c r="G74" s="16" t="s">
        <v>21</v>
      </c>
      <c r="H74" s="44" t="s">
        <v>620</v>
      </c>
      <c r="I74" s="17" t="s">
        <v>584</v>
      </c>
      <c r="J74" s="39" t="s">
        <v>585</v>
      </c>
      <c r="K74" s="2"/>
      <c r="L74" s="2"/>
      <c r="M74" s="2"/>
      <c r="N74" s="2"/>
      <c r="O74" s="2"/>
      <c r="P74" s="2"/>
      <c r="Q74" s="2"/>
      <c r="R74" s="3"/>
      <c r="S74" s="2"/>
      <c r="T74" s="2"/>
      <c r="U74" s="2"/>
      <c r="V74" s="2"/>
      <c r="W74" s="2"/>
      <c r="X74" s="2"/>
      <c r="Y74" s="2"/>
      <c r="Z74" s="2"/>
      <c r="AA74" s="2"/>
      <c r="AB74" s="2"/>
      <c r="AC74" s="2"/>
      <c r="AD74" s="2"/>
    </row>
    <row r="75" spans="1:30" ht="22.5" customHeight="1" x14ac:dyDescent="0.25">
      <c r="A75" s="8">
        <f t="shared" si="1"/>
        <v>74</v>
      </c>
      <c r="B75" s="24" t="s">
        <v>576</v>
      </c>
      <c r="C75" s="29">
        <v>42165</v>
      </c>
      <c r="D75" s="16">
        <v>30</v>
      </c>
      <c r="E75" s="16" t="s">
        <v>19</v>
      </c>
      <c r="F75" s="16" t="s">
        <v>42</v>
      </c>
      <c r="G75" s="16" t="s">
        <v>21</v>
      </c>
      <c r="H75" s="44" t="s">
        <v>620</v>
      </c>
      <c r="I75" s="17" t="s">
        <v>584</v>
      </c>
      <c r="J75" s="39" t="s">
        <v>585</v>
      </c>
      <c r="K75" s="2"/>
      <c r="L75" s="2"/>
      <c r="M75" s="2"/>
      <c r="N75" s="2"/>
      <c r="O75" s="2"/>
      <c r="P75" s="2"/>
      <c r="Q75" s="2"/>
      <c r="R75" s="3"/>
      <c r="S75" s="2"/>
      <c r="T75" s="2"/>
      <c r="U75" s="2"/>
      <c r="V75" s="2"/>
      <c r="W75" s="2"/>
      <c r="X75" s="2"/>
      <c r="Y75" s="2"/>
      <c r="Z75" s="2"/>
      <c r="AA75" s="2"/>
      <c r="AB75" s="2"/>
      <c r="AC75" s="2"/>
      <c r="AD75" s="2"/>
    </row>
    <row r="76" spans="1:30" ht="22.5" customHeight="1" x14ac:dyDescent="0.25">
      <c r="A76" s="8">
        <f t="shared" si="1"/>
        <v>75</v>
      </c>
      <c r="B76" s="24" t="s">
        <v>579</v>
      </c>
      <c r="C76" s="29">
        <v>42239</v>
      </c>
      <c r="D76" s="16">
        <v>32</v>
      </c>
      <c r="E76" s="16" t="s">
        <v>19</v>
      </c>
      <c r="F76" s="16" t="s">
        <v>39</v>
      </c>
      <c r="G76" s="16" t="s">
        <v>21</v>
      </c>
      <c r="H76" s="44" t="s">
        <v>621</v>
      </c>
      <c r="I76" s="17" t="s">
        <v>584</v>
      </c>
      <c r="J76" s="39" t="s">
        <v>585</v>
      </c>
      <c r="K76" s="2"/>
      <c r="L76" s="2"/>
      <c r="M76" s="2"/>
      <c r="N76" s="2"/>
      <c r="O76" s="2"/>
      <c r="P76" s="2"/>
      <c r="Q76" s="2"/>
      <c r="R76" s="3"/>
      <c r="S76" s="2"/>
      <c r="T76" s="2"/>
      <c r="U76" s="2"/>
      <c r="V76" s="2"/>
      <c r="W76" s="2"/>
      <c r="X76" s="2"/>
      <c r="Y76" s="2"/>
      <c r="Z76" s="2"/>
      <c r="AA76" s="2"/>
      <c r="AB76" s="2"/>
      <c r="AC76" s="2"/>
      <c r="AD76" s="2"/>
    </row>
    <row r="77" spans="1:30" ht="22.5" customHeight="1" x14ac:dyDescent="0.25">
      <c r="A77" s="8">
        <f t="shared" si="1"/>
        <v>76</v>
      </c>
      <c r="B77" s="24" t="s">
        <v>577</v>
      </c>
      <c r="C77" s="29">
        <v>41185</v>
      </c>
      <c r="D77" s="16">
        <v>50</v>
      </c>
      <c r="E77" s="16" t="s">
        <v>19</v>
      </c>
      <c r="F77" s="16" t="s">
        <v>32</v>
      </c>
      <c r="G77" s="16" t="s">
        <v>21</v>
      </c>
      <c r="H77" s="44" t="s">
        <v>621</v>
      </c>
      <c r="I77" s="17" t="s">
        <v>584</v>
      </c>
      <c r="J77" s="39" t="s">
        <v>585</v>
      </c>
      <c r="K77" s="2"/>
      <c r="L77" s="2"/>
      <c r="M77" s="2"/>
      <c r="N77" s="2"/>
      <c r="O77" s="2"/>
      <c r="P77" s="2"/>
      <c r="Q77" s="2"/>
      <c r="R77" s="3"/>
      <c r="S77" s="2"/>
      <c r="T77" s="2"/>
      <c r="U77" s="2"/>
      <c r="V77" s="2"/>
      <c r="W77" s="2"/>
      <c r="X77" s="2"/>
      <c r="Y77" s="2"/>
      <c r="Z77" s="2"/>
      <c r="AA77" s="2"/>
      <c r="AB77" s="2"/>
      <c r="AC77" s="2"/>
      <c r="AD77" s="2"/>
    </row>
    <row r="78" spans="1:30" ht="22.5" customHeight="1" x14ac:dyDescent="0.25">
      <c r="A78" s="8">
        <f t="shared" si="1"/>
        <v>77</v>
      </c>
      <c r="B78" s="24" t="s">
        <v>574</v>
      </c>
      <c r="C78" s="29">
        <v>40380</v>
      </c>
      <c r="D78" s="16">
        <v>35</v>
      </c>
      <c r="E78" s="16" t="s">
        <v>25</v>
      </c>
      <c r="F78" s="16" t="s">
        <v>39</v>
      </c>
      <c r="G78" s="16" t="s">
        <v>21</v>
      </c>
      <c r="H78" s="44" t="s">
        <v>620</v>
      </c>
      <c r="I78" s="17" t="s">
        <v>584</v>
      </c>
      <c r="J78" s="39" t="s">
        <v>585</v>
      </c>
      <c r="K78" s="2"/>
      <c r="L78" s="2"/>
      <c r="M78" s="2"/>
      <c r="N78" s="2"/>
      <c r="O78" s="2"/>
      <c r="P78" s="2"/>
      <c r="Q78" s="2"/>
      <c r="R78" s="3"/>
      <c r="S78" s="2"/>
      <c r="T78" s="2"/>
      <c r="U78" s="2"/>
      <c r="V78" s="2"/>
      <c r="W78" s="2"/>
      <c r="X78" s="2"/>
      <c r="Y78" s="2"/>
      <c r="Z78" s="2"/>
      <c r="AA78" s="2"/>
      <c r="AB78" s="2"/>
      <c r="AC78" s="2"/>
      <c r="AD78" s="2"/>
    </row>
    <row r="79" spans="1:30" ht="22.5" customHeight="1" x14ac:dyDescent="0.25">
      <c r="A79" s="8">
        <f t="shared" si="1"/>
        <v>78</v>
      </c>
      <c r="B79" s="24" t="s">
        <v>575</v>
      </c>
      <c r="C79" s="29">
        <v>40366</v>
      </c>
      <c r="D79" s="16">
        <v>45</v>
      </c>
      <c r="E79" s="16" t="s">
        <v>25</v>
      </c>
      <c r="F79" s="16" t="s">
        <v>42</v>
      </c>
      <c r="G79" s="16" t="s">
        <v>21</v>
      </c>
      <c r="H79" s="44" t="s">
        <v>622</v>
      </c>
      <c r="I79" s="17" t="s">
        <v>584</v>
      </c>
      <c r="J79" s="39" t="s">
        <v>585</v>
      </c>
      <c r="K79" s="2"/>
      <c r="L79" s="2"/>
      <c r="M79" s="2"/>
      <c r="N79" s="2"/>
      <c r="O79" s="2"/>
      <c r="P79" s="2"/>
      <c r="Q79" s="2"/>
      <c r="R79" s="3"/>
      <c r="S79" s="2"/>
      <c r="T79" s="2"/>
      <c r="U79" s="2"/>
      <c r="V79" s="2"/>
      <c r="W79" s="2"/>
      <c r="X79" s="2"/>
      <c r="Y79" s="2"/>
      <c r="Z79" s="2"/>
      <c r="AA79" s="2"/>
      <c r="AB79" s="2"/>
      <c r="AC79" s="2"/>
      <c r="AD79" s="2"/>
    </row>
    <row r="80" spans="1:30" ht="22.5" customHeight="1" x14ac:dyDescent="0.25">
      <c r="A80" s="8">
        <f t="shared" si="1"/>
        <v>79</v>
      </c>
      <c r="B80" s="24" t="s">
        <v>578</v>
      </c>
      <c r="C80" s="29">
        <v>39693</v>
      </c>
      <c r="D80" s="16">
        <v>65</v>
      </c>
      <c r="E80" s="16" t="s">
        <v>25</v>
      </c>
      <c r="F80" s="16" t="s">
        <v>39</v>
      </c>
      <c r="G80" s="16" t="s">
        <v>21</v>
      </c>
      <c r="H80" s="44" t="s">
        <v>621</v>
      </c>
      <c r="I80" s="17" t="s">
        <v>584</v>
      </c>
      <c r="J80" s="39" t="s">
        <v>585</v>
      </c>
      <c r="K80" s="2"/>
      <c r="L80" s="2"/>
      <c r="M80" s="2"/>
      <c r="N80" s="2"/>
      <c r="O80" s="2"/>
      <c r="P80" s="2"/>
      <c r="Q80" s="2"/>
      <c r="R80" s="3"/>
      <c r="S80" s="2"/>
      <c r="T80" s="2"/>
      <c r="U80" s="2"/>
      <c r="V80" s="2"/>
      <c r="W80" s="2"/>
      <c r="X80" s="2"/>
      <c r="Y80" s="2"/>
      <c r="Z80" s="2"/>
      <c r="AA80" s="2"/>
      <c r="AB80" s="2"/>
      <c r="AC80" s="2"/>
      <c r="AD80" s="2"/>
    </row>
    <row r="81" spans="1:30" ht="22.5" customHeight="1" x14ac:dyDescent="0.25">
      <c r="A81" s="8">
        <f t="shared" si="1"/>
        <v>80</v>
      </c>
      <c r="B81" s="24" t="s">
        <v>570</v>
      </c>
      <c r="C81" s="29">
        <v>43427</v>
      </c>
      <c r="D81" s="16">
        <v>17</v>
      </c>
      <c r="E81" s="16" t="s">
        <v>19</v>
      </c>
      <c r="F81" s="16" t="s">
        <v>50</v>
      </c>
      <c r="G81" s="16" t="s">
        <v>21</v>
      </c>
      <c r="H81" s="44" t="s">
        <v>622</v>
      </c>
      <c r="I81" s="17" t="s">
        <v>580</v>
      </c>
      <c r="J81" s="39" t="s">
        <v>582</v>
      </c>
      <c r="K81" s="2"/>
      <c r="L81" s="2"/>
      <c r="M81" s="2"/>
      <c r="N81" s="2"/>
      <c r="O81" s="2"/>
      <c r="P81" s="2"/>
      <c r="Q81" s="2"/>
      <c r="R81" s="3"/>
      <c r="S81" s="2"/>
      <c r="T81" s="2"/>
      <c r="U81" s="2"/>
      <c r="V81" s="2"/>
      <c r="W81" s="2"/>
      <c r="X81" s="2"/>
      <c r="Y81" s="2"/>
      <c r="Z81" s="2"/>
      <c r="AA81" s="2"/>
      <c r="AB81" s="2"/>
      <c r="AC81" s="2"/>
      <c r="AD81" s="2"/>
    </row>
    <row r="82" spans="1:30" ht="22.5" customHeight="1" x14ac:dyDescent="0.25">
      <c r="A82" s="8">
        <f t="shared" si="1"/>
        <v>81</v>
      </c>
      <c r="B82" s="24" t="s">
        <v>568</v>
      </c>
      <c r="C82" s="29">
        <v>40165</v>
      </c>
      <c r="D82" s="16">
        <v>40</v>
      </c>
      <c r="E82" s="16" t="s">
        <v>25</v>
      </c>
      <c r="F82" s="16" t="s">
        <v>34</v>
      </c>
      <c r="G82" s="16" t="s">
        <v>21</v>
      </c>
      <c r="H82" s="44" t="s">
        <v>622</v>
      </c>
      <c r="I82" s="17" t="s">
        <v>580</v>
      </c>
      <c r="J82" s="39" t="s">
        <v>582</v>
      </c>
      <c r="K82" s="2"/>
      <c r="L82" s="2"/>
      <c r="M82" s="2"/>
      <c r="N82" s="2"/>
      <c r="O82" s="2"/>
      <c r="P82" s="2"/>
      <c r="Q82" s="2"/>
      <c r="R82" s="3"/>
      <c r="S82" s="2"/>
      <c r="T82" s="2"/>
      <c r="U82" s="2"/>
      <c r="V82" s="2"/>
      <c r="W82" s="2"/>
      <c r="X82" s="2"/>
      <c r="Y82" s="2"/>
      <c r="Z82" s="2"/>
      <c r="AA82" s="2"/>
      <c r="AB82" s="2"/>
      <c r="AC82" s="2"/>
      <c r="AD82" s="2"/>
    </row>
    <row r="83" spans="1:30" ht="22.5" customHeight="1" x14ac:dyDescent="0.25">
      <c r="A83" s="8">
        <f t="shared" si="1"/>
        <v>82</v>
      </c>
      <c r="B83" s="24" t="s">
        <v>566</v>
      </c>
      <c r="C83" s="29">
        <v>40164</v>
      </c>
      <c r="D83" s="16">
        <v>58</v>
      </c>
      <c r="E83" s="16" t="s">
        <v>25</v>
      </c>
      <c r="F83" s="16" t="s">
        <v>37</v>
      </c>
      <c r="G83" s="16" t="s">
        <v>21</v>
      </c>
      <c r="H83" s="44" t="s">
        <v>620</v>
      </c>
      <c r="I83" s="17" t="s">
        <v>580</v>
      </c>
      <c r="J83" s="39" t="s">
        <v>582</v>
      </c>
      <c r="K83" s="2"/>
      <c r="L83" s="2"/>
      <c r="M83" s="2"/>
      <c r="N83" s="2"/>
      <c r="O83" s="2"/>
      <c r="P83" s="2"/>
      <c r="Q83" s="2"/>
      <c r="R83" s="3"/>
      <c r="S83" s="2"/>
      <c r="T83" s="2"/>
      <c r="U83" s="2"/>
      <c r="V83" s="2"/>
      <c r="W83" s="2"/>
      <c r="X83" s="2"/>
      <c r="Y83" s="2"/>
      <c r="Z83" s="2"/>
      <c r="AA83" s="2"/>
      <c r="AB83" s="2"/>
      <c r="AC83" s="2"/>
      <c r="AD83" s="2"/>
    </row>
    <row r="84" spans="1:30" ht="22.5" customHeight="1" x14ac:dyDescent="0.25">
      <c r="A84" s="8">
        <f t="shared" si="1"/>
        <v>83</v>
      </c>
      <c r="B84" s="24" t="s">
        <v>27</v>
      </c>
      <c r="C84" s="27">
        <v>43131</v>
      </c>
      <c r="D84" s="4">
        <v>31</v>
      </c>
      <c r="E84" s="4" t="s">
        <v>19</v>
      </c>
      <c r="F84" s="4" t="s">
        <v>28</v>
      </c>
      <c r="G84" s="4" t="s">
        <v>21</v>
      </c>
      <c r="H84" s="44" t="s">
        <v>620</v>
      </c>
      <c r="I84" s="5" t="s">
        <v>22</v>
      </c>
      <c r="J84" s="36" t="s">
        <v>29</v>
      </c>
      <c r="K84" s="2"/>
      <c r="L84" s="2"/>
      <c r="M84" s="2"/>
      <c r="N84" s="2"/>
      <c r="O84" s="2"/>
      <c r="P84" s="2"/>
      <c r="Q84" s="2"/>
      <c r="R84" s="3"/>
      <c r="S84" s="2"/>
      <c r="T84" s="2"/>
      <c r="U84" s="2"/>
      <c r="V84" s="2"/>
      <c r="W84" s="2"/>
      <c r="X84" s="2"/>
      <c r="Y84" s="2"/>
      <c r="Z84" s="2"/>
      <c r="AA84" s="2"/>
      <c r="AB84" s="2"/>
      <c r="AC84" s="2"/>
      <c r="AD84" s="2"/>
    </row>
    <row r="85" spans="1:30" ht="22.5" customHeight="1" x14ac:dyDescent="0.25">
      <c r="A85" s="8">
        <f t="shared" si="1"/>
        <v>84</v>
      </c>
      <c r="B85" s="24" t="s">
        <v>79</v>
      </c>
      <c r="C85" s="27">
        <v>42621</v>
      </c>
      <c r="D85" s="4">
        <v>28</v>
      </c>
      <c r="E85" s="4" t="s">
        <v>19</v>
      </c>
      <c r="F85" s="4" t="s">
        <v>28</v>
      </c>
      <c r="G85" s="4" t="s">
        <v>21</v>
      </c>
      <c r="H85" s="44" t="s">
        <v>621</v>
      </c>
      <c r="I85" s="5" t="s">
        <v>22</v>
      </c>
      <c r="J85" s="36" t="s">
        <v>29</v>
      </c>
      <c r="K85" s="2"/>
      <c r="L85" s="2"/>
      <c r="M85" s="2"/>
      <c r="N85" s="2"/>
      <c r="O85" s="2"/>
      <c r="P85" s="2"/>
      <c r="Q85" s="2"/>
      <c r="R85" s="3"/>
      <c r="S85" s="2"/>
      <c r="T85" s="2"/>
      <c r="U85" s="2"/>
      <c r="V85" s="2"/>
      <c r="W85" s="2"/>
      <c r="X85" s="2"/>
      <c r="Y85" s="2"/>
      <c r="Z85" s="2"/>
      <c r="AA85" s="2"/>
      <c r="AB85" s="2"/>
      <c r="AC85" s="2"/>
      <c r="AD85" s="2"/>
    </row>
    <row r="86" spans="1:30" ht="22.5" customHeight="1" x14ac:dyDescent="0.25">
      <c r="A86" s="8">
        <f t="shared" si="1"/>
        <v>85</v>
      </c>
      <c r="B86" s="24" t="s">
        <v>90</v>
      </c>
      <c r="C86" s="27">
        <v>41846</v>
      </c>
      <c r="D86" s="4">
        <v>30</v>
      </c>
      <c r="E86" s="4" t="s">
        <v>25</v>
      </c>
      <c r="F86" s="4" t="s">
        <v>28</v>
      </c>
      <c r="G86" s="4" t="s">
        <v>21</v>
      </c>
      <c r="H86" s="44" t="s">
        <v>621</v>
      </c>
      <c r="I86" s="5" t="s">
        <v>22</v>
      </c>
      <c r="J86" s="36" t="s">
        <v>29</v>
      </c>
      <c r="K86" s="2"/>
      <c r="L86" s="2"/>
      <c r="M86" s="2"/>
      <c r="N86" s="2"/>
      <c r="O86" s="2"/>
      <c r="P86" s="2"/>
      <c r="Q86" s="2"/>
      <c r="R86" s="3"/>
      <c r="S86" s="2"/>
      <c r="T86" s="2"/>
      <c r="U86" s="2"/>
      <c r="V86" s="2"/>
      <c r="W86" s="2"/>
      <c r="X86" s="2"/>
      <c r="Y86" s="2"/>
      <c r="Z86" s="2"/>
      <c r="AA86" s="2"/>
      <c r="AB86" s="2"/>
      <c r="AC86" s="2"/>
      <c r="AD86" s="2"/>
    </row>
    <row r="87" spans="1:30" ht="22.5" customHeight="1" x14ac:dyDescent="0.25">
      <c r="A87" s="8">
        <f t="shared" si="1"/>
        <v>86</v>
      </c>
      <c r="B87" s="24" t="s">
        <v>97</v>
      </c>
      <c r="C87" s="27">
        <v>41654</v>
      </c>
      <c r="D87" s="4">
        <v>55</v>
      </c>
      <c r="E87" s="4" t="s">
        <v>19</v>
      </c>
      <c r="F87" s="4" t="s">
        <v>34</v>
      </c>
      <c r="G87" s="4" t="s">
        <v>21</v>
      </c>
      <c r="H87" s="44" t="s">
        <v>620</v>
      </c>
      <c r="I87" s="5" t="s">
        <v>22</v>
      </c>
      <c r="J87" s="36" t="s">
        <v>29</v>
      </c>
      <c r="K87" s="2"/>
      <c r="L87" s="2"/>
      <c r="M87" s="2"/>
      <c r="N87" s="2"/>
      <c r="O87" s="2"/>
      <c r="P87" s="2"/>
      <c r="Q87" s="2"/>
      <c r="R87" s="3"/>
      <c r="S87" s="2"/>
      <c r="T87" s="2"/>
      <c r="U87" s="2"/>
      <c r="V87" s="2"/>
      <c r="W87" s="2"/>
      <c r="X87" s="2"/>
      <c r="Y87" s="2"/>
      <c r="Z87" s="2"/>
      <c r="AA87" s="2"/>
      <c r="AB87" s="2"/>
      <c r="AC87" s="2"/>
      <c r="AD87" s="2"/>
    </row>
    <row r="88" spans="1:30" ht="22.5" customHeight="1" x14ac:dyDescent="0.25">
      <c r="A88" s="8">
        <f t="shared" si="1"/>
        <v>87</v>
      </c>
      <c r="B88" s="24" t="s">
        <v>210</v>
      </c>
      <c r="C88" s="27">
        <v>41511</v>
      </c>
      <c r="D88" s="4">
        <v>35</v>
      </c>
      <c r="E88" s="4" t="s">
        <v>25</v>
      </c>
      <c r="F88" s="4" t="s">
        <v>20</v>
      </c>
      <c r="G88" s="4" t="s">
        <v>21</v>
      </c>
      <c r="H88" s="44" t="s">
        <v>622</v>
      </c>
      <c r="I88" s="5" t="s">
        <v>22</v>
      </c>
      <c r="J88" s="36" t="s">
        <v>29</v>
      </c>
      <c r="K88" s="2"/>
      <c r="L88" s="2"/>
      <c r="M88" s="2"/>
      <c r="N88" s="2"/>
      <c r="O88" s="2"/>
      <c r="P88" s="2"/>
      <c r="Q88" s="2"/>
      <c r="R88" s="3"/>
      <c r="S88" s="2"/>
      <c r="T88" s="2"/>
      <c r="U88" s="2"/>
      <c r="V88" s="2"/>
      <c r="W88" s="2"/>
      <c r="X88" s="2"/>
      <c r="Y88" s="2"/>
      <c r="Z88" s="2"/>
      <c r="AA88" s="2"/>
      <c r="AB88" s="2"/>
      <c r="AC88" s="2"/>
      <c r="AD88" s="2"/>
    </row>
    <row r="89" spans="1:30" ht="22.5" customHeight="1" x14ac:dyDescent="0.25">
      <c r="A89" s="8">
        <f t="shared" si="1"/>
        <v>88</v>
      </c>
      <c r="B89" s="24" t="s">
        <v>183</v>
      </c>
      <c r="C89" s="27">
        <v>43176</v>
      </c>
      <c r="D89" s="4">
        <v>27</v>
      </c>
      <c r="E89" s="4" t="s">
        <v>19</v>
      </c>
      <c r="F89" s="4" t="s">
        <v>42</v>
      </c>
      <c r="G89" s="4" t="s">
        <v>21</v>
      </c>
      <c r="H89" s="44" t="s">
        <v>621</v>
      </c>
      <c r="I89" s="5" t="s">
        <v>129</v>
      </c>
      <c r="J89" s="36" t="s">
        <v>130</v>
      </c>
      <c r="K89" s="2"/>
      <c r="L89" s="2"/>
      <c r="M89" s="2"/>
      <c r="N89" s="2"/>
      <c r="O89" s="2"/>
      <c r="P89" s="2"/>
      <c r="Q89" s="2"/>
      <c r="R89" s="3"/>
      <c r="S89" s="2"/>
      <c r="T89" s="2"/>
      <c r="U89" s="2"/>
      <c r="V89" s="2"/>
      <c r="W89" s="2"/>
      <c r="X89" s="2"/>
      <c r="Y89" s="2"/>
      <c r="Z89" s="2"/>
      <c r="AA89" s="2"/>
      <c r="AB89" s="2"/>
      <c r="AC89" s="2"/>
      <c r="AD89" s="2"/>
    </row>
    <row r="90" spans="1:30" ht="22.5" customHeight="1" x14ac:dyDescent="0.25">
      <c r="A90" s="8">
        <f t="shared" si="1"/>
        <v>89</v>
      </c>
      <c r="B90" s="24" t="s">
        <v>131</v>
      </c>
      <c r="C90" s="27">
        <v>43266</v>
      </c>
      <c r="D90" s="4">
        <v>29</v>
      </c>
      <c r="E90" s="4" t="s">
        <v>19</v>
      </c>
      <c r="F90" s="4" t="s">
        <v>42</v>
      </c>
      <c r="G90" s="4" t="s">
        <v>21</v>
      </c>
      <c r="H90" s="44" t="s">
        <v>622</v>
      </c>
      <c r="I90" s="5" t="s">
        <v>129</v>
      </c>
      <c r="J90" s="40" t="s">
        <v>130</v>
      </c>
      <c r="K90" s="2"/>
      <c r="L90" s="2"/>
      <c r="M90" s="2"/>
      <c r="N90" s="2"/>
      <c r="O90" s="2"/>
      <c r="P90" s="2"/>
      <c r="Q90" s="2"/>
      <c r="R90" s="3"/>
      <c r="S90" s="2"/>
      <c r="T90" s="2"/>
      <c r="U90" s="2"/>
      <c r="V90" s="2"/>
      <c r="W90" s="2"/>
      <c r="X90" s="2"/>
      <c r="Y90" s="2"/>
      <c r="Z90" s="2"/>
      <c r="AA90" s="2"/>
      <c r="AB90" s="2"/>
      <c r="AC90" s="2"/>
      <c r="AD90" s="2"/>
    </row>
    <row r="91" spans="1:30" ht="22.5" customHeight="1" x14ac:dyDescent="0.25">
      <c r="A91" s="8">
        <f t="shared" si="1"/>
        <v>90</v>
      </c>
      <c r="B91" s="24" t="s">
        <v>321</v>
      </c>
      <c r="C91" s="27">
        <v>42870</v>
      </c>
      <c r="D91" s="4">
        <v>25</v>
      </c>
      <c r="E91" s="4" t="s">
        <v>25</v>
      </c>
      <c r="F91" s="4" t="s">
        <v>39</v>
      </c>
      <c r="G91" s="4" t="s">
        <v>21</v>
      </c>
      <c r="H91" s="44" t="s">
        <v>622</v>
      </c>
      <c r="I91" s="5" t="s">
        <v>129</v>
      </c>
      <c r="J91" s="36" t="s">
        <v>130</v>
      </c>
      <c r="K91" s="2"/>
      <c r="L91" s="2"/>
      <c r="M91" s="2"/>
      <c r="N91" s="2"/>
      <c r="O91" s="2"/>
      <c r="P91" s="2"/>
      <c r="Q91" s="2"/>
      <c r="R91" s="3"/>
      <c r="S91" s="2"/>
      <c r="T91" s="2"/>
      <c r="U91" s="2"/>
      <c r="V91" s="2"/>
      <c r="W91" s="2"/>
      <c r="X91" s="2"/>
      <c r="Y91" s="2"/>
      <c r="Z91" s="2"/>
      <c r="AA91" s="2"/>
      <c r="AB91" s="2"/>
      <c r="AC91" s="2"/>
      <c r="AD91" s="2"/>
    </row>
    <row r="92" spans="1:30" ht="22.5" customHeight="1" x14ac:dyDescent="0.25">
      <c r="A92" s="8">
        <f t="shared" si="1"/>
        <v>91</v>
      </c>
      <c r="B92" s="24" t="s">
        <v>234</v>
      </c>
      <c r="C92" s="27">
        <v>42492</v>
      </c>
      <c r="D92" s="4">
        <v>29</v>
      </c>
      <c r="E92" s="4" t="s">
        <v>25</v>
      </c>
      <c r="F92" s="4" t="s">
        <v>42</v>
      </c>
      <c r="G92" s="4" t="s">
        <v>21</v>
      </c>
      <c r="H92" s="44" t="s">
        <v>620</v>
      </c>
      <c r="I92" s="5" t="s">
        <v>129</v>
      </c>
      <c r="J92" s="36" t="s">
        <v>130</v>
      </c>
      <c r="K92" s="2"/>
      <c r="L92" s="2"/>
      <c r="M92" s="2"/>
      <c r="N92" s="2"/>
      <c r="O92" s="2"/>
      <c r="P92" s="2"/>
      <c r="Q92" s="2"/>
      <c r="R92" s="3"/>
      <c r="S92" s="2"/>
      <c r="T92" s="2"/>
      <c r="U92" s="2"/>
      <c r="V92" s="2"/>
      <c r="W92" s="2"/>
      <c r="X92" s="2"/>
      <c r="Y92" s="2"/>
      <c r="Z92" s="2"/>
      <c r="AA92" s="2"/>
      <c r="AB92" s="2"/>
      <c r="AC92" s="2"/>
      <c r="AD92" s="2"/>
    </row>
    <row r="93" spans="1:30" ht="22.5" customHeight="1" x14ac:dyDescent="0.25">
      <c r="A93" s="8">
        <f t="shared" si="1"/>
        <v>92</v>
      </c>
      <c r="B93" s="24" t="s">
        <v>128</v>
      </c>
      <c r="C93" s="27">
        <v>42252</v>
      </c>
      <c r="D93" s="4">
        <v>48</v>
      </c>
      <c r="E93" s="4" t="s">
        <v>25</v>
      </c>
      <c r="F93" s="4" t="s">
        <v>28</v>
      </c>
      <c r="G93" s="4" t="s">
        <v>21</v>
      </c>
      <c r="H93" s="44" t="s">
        <v>620</v>
      </c>
      <c r="I93" s="5" t="s">
        <v>129</v>
      </c>
      <c r="J93" s="36" t="s">
        <v>130</v>
      </c>
      <c r="K93" s="2"/>
      <c r="L93" s="2"/>
      <c r="M93" s="2"/>
      <c r="N93" s="2"/>
      <c r="O93" s="2"/>
      <c r="P93" s="2"/>
      <c r="Q93" s="2"/>
      <c r="R93" s="3"/>
      <c r="S93" s="2"/>
      <c r="T93" s="2"/>
      <c r="U93" s="2"/>
      <c r="V93" s="2"/>
      <c r="W93" s="2"/>
      <c r="X93" s="2"/>
      <c r="Y93" s="2"/>
      <c r="Z93" s="2"/>
      <c r="AA93" s="2"/>
      <c r="AB93" s="2"/>
      <c r="AC93" s="2"/>
      <c r="AD93" s="2"/>
    </row>
    <row r="94" spans="1:30" ht="22.5" customHeight="1" x14ac:dyDescent="0.25">
      <c r="A94" s="8">
        <f t="shared" si="1"/>
        <v>93</v>
      </c>
      <c r="B94" s="24" t="s">
        <v>588</v>
      </c>
      <c r="C94" s="27">
        <v>42194</v>
      </c>
      <c r="D94" s="4">
        <v>51</v>
      </c>
      <c r="E94" s="18" t="s">
        <v>25</v>
      </c>
      <c r="F94" s="18" t="s">
        <v>42</v>
      </c>
      <c r="G94" s="18" t="s">
        <v>21</v>
      </c>
      <c r="H94" s="44" t="s">
        <v>621</v>
      </c>
      <c r="I94" s="19" t="s">
        <v>129</v>
      </c>
      <c r="J94" s="37" t="s">
        <v>130</v>
      </c>
      <c r="K94" s="2"/>
      <c r="L94" s="2"/>
      <c r="M94" s="2"/>
      <c r="N94" s="2"/>
      <c r="O94" s="2"/>
      <c r="P94" s="2"/>
      <c r="Q94" s="2"/>
      <c r="R94" s="3"/>
      <c r="S94" s="2"/>
      <c r="T94" s="2"/>
      <c r="U94" s="2"/>
      <c r="V94" s="2"/>
      <c r="W94" s="2"/>
      <c r="X94" s="2"/>
      <c r="Y94" s="2"/>
      <c r="Z94" s="2"/>
      <c r="AA94" s="2"/>
      <c r="AB94" s="2"/>
      <c r="AC94" s="2"/>
      <c r="AD94" s="2"/>
    </row>
    <row r="95" spans="1:30" ht="22.5" customHeight="1" x14ac:dyDescent="0.25">
      <c r="A95" s="8">
        <f t="shared" si="1"/>
        <v>94</v>
      </c>
      <c r="B95" s="24" t="s">
        <v>235</v>
      </c>
      <c r="C95" s="27">
        <v>42031</v>
      </c>
      <c r="D95" s="4">
        <v>24</v>
      </c>
      <c r="E95" s="4" t="s">
        <v>19</v>
      </c>
      <c r="F95" s="4" t="s">
        <v>50</v>
      </c>
      <c r="G95" s="4" t="s">
        <v>21</v>
      </c>
      <c r="H95" s="44" t="s">
        <v>621</v>
      </c>
      <c r="I95" s="5" t="s">
        <v>129</v>
      </c>
      <c r="J95" s="36" t="s">
        <v>130</v>
      </c>
      <c r="K95" s="2"/>
      <c r="L95" s="2"/>
      <c r="M95" s="2"/>
      <c r="N95" s="2"/>
      <c r="O95" s="2"/>
      <c r="P95" s="2"/>
      <c r="Q95" s="2"/>
      <c r="R95" s="3"/>
      <c r="S95" s="2"/>
      <c r="T95" s="2"/>
      <c r="U95" s="2"/>
      <c r="V95" s="2"/>
      <c r="W95" s="2"/>
      <c r="X95" s="2"/>
      <c r="Y95" s="2"/>
      <c r="Z95" s="2"/>
      <c r="AA95" s="2"/>
      <c r="AB95" s="2"/>
      <c r="AC95" s="2"/>
      <c r="AD95" s="2"/>
    </row>
    <row r="96" spans="1:30" ht="22.5" customHeight="1" x14ac:dyDescent="0.25">
      <c r="A96" s="8">
        <f t="shared" si="1"/>
        <v>95</v>
      </c>
      <c r="B96" s="24" t="s">
        <v>526</v>
      </c>
      <c r="C96" s="27">
        <v>41897</v>
      </c>
      <c r="D96" s="4">
        <v>29</v>
      </c>
      <c r="E96" s="4" t="s">
        <v>19</v>
      </c>
      <c r="F96" s="4" t="s">
        <v>28</v>
      </c>
      <c r="G96" s="4" t="s">
        <v>21</v>
      </c>
      <c r="H96" s="44" t="s">
        <v>620</v>
      </c>
      <c r="I96" s="5" t="s">
        <v>129</v>
      </c>
      <c r="J96" s="36" t="s">
        <v>130</v>
      </c>
      <c r="K96" s="2"/>
      <c r="L96" s="2"/>
      <c r="M96" s="2"/>
      <c r="N96" s="2"/>
      <c r="O96" s="2"/>
      <c r="P96" s="2"/>
      <c r="Q96" s="2"/>
      <c r="R96" s="3"/>
      <c r="S96" s="2"/>
      <c r="T96" s="2"/>
      <c r="U96" s="2"/>
      <c r="V96" s="2"/>
      <c r="W96" s="2"/>
      <c r="X96" s="2"/>
      <c r="Y96" s="2"/>
      <c r="Z96" s="2"/>
      <c r="AA96" s="2"/>
      <c r="AB96" s="2"/>
      <c r="AC96" s="2"/>
      <c r="AD96" s="2"/>
    </row>
    <row r="97" spans="1:30" ht="22.5" customHeight="1" x14ac:dyDescent="0.25">
      <c r="A97" s="8">
        <f t="shared" si="1"/>
        <v>96</v>
      </c>
      <c r="B97" s="24" t="s">
        <v>190</v>
      </c>
      <c r="C97" s="27">
        <v>41297</v>
      </c>
      <c r="D97" s="4">
        <v>41</v>
      </c>
      <c r="E97" s="4" t="s">
        <v>25</v>
      </c>
      <c r="F97" s="4" t="s">
        <v>42</v>
      </c>
      <c r="G97" s="4" t="s">
        <v>21</v>
      </c>
      <c r="H97" s="44" t="s">
        <v>622</v>
      </c>
      <c r="I97" s="5" t="s">
        <v>129</v>
      </c>
      <c r="J97" s="36" t="s">
        <v>130</v>
      </c>
      <c r="K97" s="2"/>
      <c r="L97" s="2"/>
      <c r="M97" s="2"/>
      <c r="N97" s="2"/>
      <c r="O97" s="2"/>
      <c r="P97" s="2"/>
      <c r="Q97" s="2"/>
      <c r="R97" s="3"/>
      <c r="S97" s="2"/>
      <c r="T97" s="2"/>
      <c r="U97" s="2"/>
      <c r="V97" s="2"/>
      <c r="W97" s="2"/>
      <c r="X97" s="2"/>
      <c r="Y97" s="2"/>
      <c r="Z97" s="2"/>
      <c r="AA97" s="2"/>
      <c r="AB97" s="2"/>
      <c r="AC97" s="2"/>
      <c r="AD97" s="2"/>
    </row>
    <row r="98" spans="1:30" ht="22.5" customHeight="1" x14ac:dyDescent="0.25">
      <c r="A98" s="8">
        <f t="shared" si="1"/>
        <v>97</v>
      </c>
      <c r="B98" s="24" t="s">
        <v>233</v>
      </c>
      <c r="C98" s="27">
        <v>41406</v>
      </c>
      <c r="D98" s="4">
        <v>55</v>
      </c>
      <c r="E98" s="4" t="s">
        <v>25</v>
      </c>
      <c r="F98" s="4" t="s">
        <v>34</v>
      </c>
      <c r="G98" s="4" t="s">
        <v>21</v>
      </c>
      <c r="H98" s="44" t="s">
        <v>621</v>
      </c>
      <c r="I98" s="5" t="s">
        <v>129</v>
      </c>
      <c r="J98" s="36" t="s">
        <v>130</v>
      </c>
      <c r="K98" s="2"/>
      <c r="L98" s="2"/>
      <c r="M98" s="2"/>
      <c r="N98" s="2"/>
      <c r="O98" s="2"/>
      <c r="P98" s="2"/>
      <c r="Q98" s="2"/>
      <c r="R98" s="3"/>
      <c r="S98" s="2"/>
      <c r="T98" s="2"/>
      <c r="U98" s="2"/>
      <c r="V98" s="2"/>
      <c r="W98" s="2"/>
      <c r="X98" s="2"/>
      <c r="Y98" s="2"/>
      <c r="Z98" s="2"/>
      <c r="AA98" s="2"/>
      <c r="AB98" s="2"/>
      <c r="AC98" s="2"/>
      <c r="AD98" s="2"/>
    </row>
    <row r="99" spans="1:30" ht="22.5" customHeight="1" x14ac:dyDescent="0.25">
      <c r="A99" s="8">
        <f t="shared" si="1"/>
        <v>98</v>
      </c>
      <c r="B99" s="24" t="s">
        <v>380</v>
      </c>
      <c r="C99" s="27">
        <v>41518</v>
      </c>
      <c r="D99" s="4">
        <v>34</v>
      </c>
      <c r="E99" s="4" t="s">
        <v>19</v>
      </c>
      <c r="F99" s="4" t="s">
        <v>42</v>
      </c>
      <c r="G99" s="4" t="s">
        <v>21</v>
      </c>
      <c r="H99" s="44" t="s">
        <v>622</v>
      </c>
      <c r="I99" s="5" t="s">
        <v>129</v>
      </c>
      <c r="J99" s="36" t="s">
        <v>130</v>
      </c>
      <c r="K99" s="2"/>
      <c r="L99" s="2"/>
      <c r="M99" s="2"/>
      <c r="N99" s="2"/>
      <c r="O99" s="2"/>
      <c r="P99" s="2"/>
      <c r="Q99" s="2"/>
      <c r="R99" s="3"/>
      <c r="S99" s="2"/>
      <c r="T99" s="2"/>
      <c r="U99" s="2"/>
      <c r="V99" s="2"/>
      <c r="W99" s="2"/>
      <c r="X99" s="2"/>
      <c r="Y99" s="2"/>
      <c r="Z99" s="2"/>
      <c r="AA99" s="2"/>
      <c r="AB99" s="2"/>
      <c r="AC99" s="2"/>
      <c r="AD99" s="2"/>
    </row>
    <row r="100" spans="1:30" ht="22.5" customHeight="1" x14ac:dyDescent="0.25">
      <c r="A100" s="8">
        <f t="shared" si="1"/>
        <v>99</v>
      </c>
      <c r="B100" s="24" t="s">
        <v>232</v>
      </c>
      <c r="C100" s="27">
        <v>41295</v>
      </c>
      <c r="D100" s="4">
        <v>44</v>
      </c>
      <c r="E100" s="4" t="s">
        <v>19</v>
      </c>
      <c r="F100" s="4" t="s">
        <v>32</v>
      </c>
      <c r="G100" s="4" t="s">
        <v>21</v>
      </c>
      <c r="H100" s="44" t="s">
        <v>622</v>
      </c>
      <c r="I100" s="5" t="s">
        <v>129</v>
      </c>
      <c r="J100" s="36" t="s">
        <v>130</v>
      </c>
      <c r="K100" s="2"/>
      <c r="L100" s="2"/>
      <c r="M100" s="2"/>
      <c r="N100" s="2"/>
      <c r="O100" s="2"/>
      <c r="P100" s="2"/>
      <c r="Q100" s="2"/>
      <c r="R100" s="3"/>
      <c r="S100" s="2"/>
      <c r="T100" s="2"/>
      <c r="U100" s="2"/>
      <c r="V100" s="2"/>
      <c r="W100" s="2"/>
      <c r="X100" s="2"/>
      <c r="Y100" s="2"/>
      <c r="Z100" s="2"/>
      <c r="AA100" s="2"/>
      <c r="AB100" s="2"/>
      <c r="AC100" s="2"/>
      <c r="AD100" s="2"/>
    </row>
    <row r="101" spans="1:30" ht="22.5" customHeight="1" x14ac:dyDescent="0.25">
      <c r="A101" s="8">
        <f t="shared" si="1"/>
        <v>100</v>
      </c>
      <c r="B101" s="24" t="s">
        <v>231</v>
      </c>
      <c r="C101" s="27">
        <v>41427</v>
      </c>
      <c r="D101" s="4">
        <v>65</v>
      </c>
      <c r="E101" s="4" t="s">
        <v>19</v>
      </c>
      <c r="F101" s="4" t="s">
        <v>32</v>
      </c>
      <c r="G101" s="4" t="s">
        <v>21</v>
      </c>
      <c r="H101" s="44" t="s">
        <v>620</v>
      </c>
      <c r="I101" s="5" t="s">
        <v>129</v>
      </c>
      <c r="J101" s="36" t="s">
        <v>130</v>
      </c>
      <c r="K101" s="2"/>
      <c r="L101" s="2"/>
      <c r="M101" s="2"/>
      <c r="N101" s="2"/>
      <c r="O101" s="2"/>
      <c r="P101" s="2"/>
      <c r="Q101" s="2"/>
      <c r="R101" s="3"/>
      <c r="S101" s="2"/>
      <c r="T101" s="2"/>
      <c r="U101" s="2"/>
      <c r="V101" s="2"/>
      <c r="W101" s="2"/>
      <c r="X101" s="2"/>
      <c r="Y101" s="2"/>
      <c r="Z101" s="2"/>
      <c r="AA101" s="2"/>
      <c r="AB101" s="2"/>
      <c r="AC101" s="2"/>
      <c r="AD101" s="2"/>
    </row>
    <row r="102" spans="1:30" ht="22.5" customHeight="1" x14ac:dyDescent="0.25">
      <c r="A102" s="8">
        <f t="shared" si="1"/>
        <v>101</v>
      </c>
      <c r="B102" s="24" t="s">
        <v>191</v>
      </c>
      <c r="C102" s="27">
        <v>41169</v>
      </c>
      <c r="D102" s="4">
        <v>37</v>
      </c>
      <c r="E102" s="4" t="s">
        <v>19</v>
      </c>
      <c r="F102" s="4" t="s">
        <v>61</v>
      </c>
      <c r="G102" s="4" t="s">
        <v>21</v>
      </c>
      <c r="H102" s="44" t="s">
        <v>620</v>
      </c>
      <c r="I102" s="5" t="s">
        <v>129</v>
      </c>
      <c r="J102" s="36" t="s">
        <v>130</v>
      </c>
      <c r="K102" s="2"/>
      <c r="L102" s="2"/>
      <c r="M102" s="2"/>
      <c r="N102" s="2"/>
      <c r="O102" s="2"/>
      <c r="P102" s="2"/>
      <c r="Q102" s="2"/>
      <c r="R102" s="3"/>
      <c r="S102" s="2"/>
      <c r="T102" s="2"/>
      <c r="U102" s="2"/>
      <c r="V102" s="2"/>
      <c r="W102" s="2"/>
      <c r="X102" s="2"/>
      <c r="Y102" s="2"/>
      <c r="Z102" s="2"/>
      <c r="AA102" s="2"/>
      <c r="AB102" s="2"/>
      <c r="AC102" s="2"/>
      <c r="AD102" s="2"/>
    </row>
    <row r="103" spans="1:30" ht="22.5" customHeight="1" x14ac:dyDescent="0.25">
      <c r="A103" s="8">
        <f t="shared" si="1"/>
        <v>102</v>
      </c>
      <c r="B103" s="24" t="s">
        <v>485</v>
      </c>
      <c r="C103" s="27">
        <v>41079</v>
      </c>
      <c r="D103" s="4">
        <v>37</v>
      </c>
      <c r="E103" s="4" t="s">
        <v>19</v>
      </c>
      <c r="F103" s="4" t="s">
        <v>37</v>
      </c>
      <c r="G103" s="4" t="s">
        <v>21</v>
      </c>
      <c r="H103" s="44" t="s">
        <v>621</v>
      </c>
      <c r="I103" s="5" t="s">
        <v>129</v>
      </c>
      <c r="J103" s="36" t="s">
        <v>130</v>
      </c>
      <c r="K103" s="2"/>
      <c r="L103" s="2"/>
      <c r="M103" s="2"/>
      <c r="N103" s="2"/>
      <c r="O103" s="2"/>
      <c r="P103" s="2"/>
      <c r="Q103" s="2"/>
      <c r="R103" s="3"/>
      <c r="S103" s="2"/>
      <c r="T103" s="2"/>
      <c r="U103" s="2"/>
      <c r="V103" s="2"/>
      <c r="W103" s="2"/>
      <c r="X103" s="2"/>
      <c r="Y103" s="2"/>
      <c r="Z103" s="2"/>
      <c r="AA103" s="2"/>
      <c r="AB103" s="2"/>
      <c r="AC103" s="2"/>
      <c r="AD103" s="2"/>
    </row>
    <row r="104" spans="1:30" ht="22.5" customHeight="1" x14ac:dyDescent="0.25">
      <c r="A104" s="8">
        <f t="shared" si="1"/>
        <v>103</v>
      </c>
      <c r="B104" s="24" t="s">
        <v>598</v>
      </c>
      <c r="C104" s="27">
        <v>40524</v>
      </c>
      <c r="D104" s="4">
        <v>42</v>
      </c>
      <c r="E104" s="4" t="s">
        <v>25</v>
      </c>
      <c r="F104" s="4" t="s">
        <v>34</v>
      </c>
      <c r="G104" s="4" t="s">
        <v>21</v>
      </c>
      <c r="H104" s="44" t="s">
        <v>621</v>
      </c>
      <c r="I104" s="5" t="s">
        <v>129</v>
      </c>
      <c r="J104" s="36" t="s">
        <v>130</v>
      </c>
      <c r="K104" s="2"/>
      <c r="L104" s="2"/>
      <c r="M104" s="2"/>
      <c r="N104" s="2"/>
      <c r="O104" s="2"/>
      <c r="P104" s="2"/>
      <c r="Q104" s="2"/>
      <c r="R104" s="3"/>
      <c r="S104" s="2"/>
      <c r="T104" s="2"/>
      <c r="U104" s="2"/>
      <c r="V104" s="2"/>
      <c r="W104" s="2"/>
      <c r="X104" s="2"/>
      <c r="Y104" s="2"/>
      <c r="Z104" s="2"/>
      <c r="AA104" s="2"/>
      <c r="AB104" s="2"/>
      <c r="AC104" s="2"/>
      <c r="AD104" s="2"/>
    </row>
    <row r="105" spans="1:30" ht="22.5" customHeight="1" x14ac:dyDescent="0.25">
      <c r="A105" s="8">
        <f t="shared" si="1"/>
        <v>104</v>
      </c>
      <c r="B105" s="24" t="s">
        <v>219</v>
      </c>
      <c r="C105" s="27">
        <v>40305</v>
      </c>
      <c r="D105" s="4">
        <v>64</v>
      </c>
      <c r="E105" s="4" t="s">
        <v>25</v>
      </c>
      <c r="F105" s="4" t="s">
        <v>86</v>
      </c>
      <c r="G105" s="4" t="s">
        <v>21</v>
      </c>
      <c r="H105" s="44" t="s">
        <v>620</v>
      </c>
      <c r="I105" s="5" t="s">
        <v>129</v>
      </c>
      <c r="J105" s="36" t="s">
        <v>130</v>
      </c>
      <c r="K105" s="2"/>
      <c r="L105" s="2"/>
      <c r="M105" s="2"/>
      <c r="N105" s="2"/>
      <c r="O105" s="2"/>
      <c r="P105" s="2"/>
      <c r="Q105" s="2"/>
      <c r="R105" s="3"/>
      <c r="S105" s="2"/>
      <c r="T105" s="2"/>
      <c r="U105" s="2"/>
      <c r="V105" s="2"/>
      <c r="W105" s="2"/>
      <c r="X105" s="2"/>
      <c r="Y105" s="2"/>
      <c r="Z105" s="2"/>
      <c r="AA105" s="2"/>
      <c r="AB105" s="2"/>
      <c r="AC105" s="2"/>
      <c r="AD105" s="2"/>
    </row>
    <row r="106" spans="1:30" ht="22.5" customHeight="1" x14ac:dyDescent="0.25">
      <c r="A106" s="8">
        <f t="shared" si="1"/>
        <v>105</v>
      </c>
      <c r="B106" s="24" t="s">
        <v>216</v>
      </c>
      <c r="C106" s="27">
        <v>39317</v>
      </c>
      <c r="D106" s="4">
        <v>74</v>
      </c>
      <c r="E106" s="4" t="s">
        <v>25</v>
      </c>
      <c r="F106" s="4" t="s">
        <v>32</v>
      </c>
      <c r="G106" s="4" t="s">
        <v>21</v>
      </c>
      <c r="H106" s="44" t="s">
        <v>622</v>
      </c>
      <c r="I106" s="5" t="s">
        <v>129</v>
      </c>
      <c r="J106" s="36" t="s">
        <v>130</v>
      </c>
      <c r="K106" s="2"/>
      <c r="L106" s="2"/>
      <c r="M106" s="2"/>
      <c r="N106" s="2"/>
      <c r="O106" s="2"/>
      <c r="P106" s="2"/>
      <c r="Q106" s="2"/>
      <c r="R106" s="3"/>
      <c r="S106" s="2"/>
      <c r="T106" s="2"/>
      <c r="U106" s="2"/>
      <c r="V106" s="2"/>
      <c r="W106" s="2"/>
      <c r="X106" s="2"/>
      <c r="Y106" s="2"/>
      <c r="Z106" s="2"/>
      <c r="AA106" s="2"/>
      <c r="AB106" s="2"/>
      <c r="AC106" s="2"/>
      <c r="AD106" s="2"/>
    </row>
    <row r="107" spans="1:30" ht="22.5" customHeight="1" x14ac:dyDescent="0.25">
      <c r="A107" s="8">
        <f t="shared" si="1"/>
        <v>106</v>
      </c>
      <c r="B107" s="24" t="s">
        <v>132</v>
      </c>
      <c r="C107" s="27">
        <v>43329</v>
      </c>
      <c r="D107" s="4">
        <v>21</v>
      </c>
      <c r="E107" s="4" t="s">
        <v>19</v>
      </c>
      <c r="F107" s="4" t="s">
        <v>20</v>
      </c>
      <c r="G107" s="4" t="s">
        <v>21</v>
      </c>
      <c r="H107" s="44" t="s">
        <v>621</v>
      </c>
      <c r="I107" s="5" t="s">
        <v>133</v>
      </c>
      <c r="J107" s="36" t="s">
        <v>134</v>
      </c>
      <c r="K107" s="2"/>
      <c r="L107" s="2"/>
      <c r="M107" s="2"/>
      <c r="N107" s="2"/>
      <c r="O107" s="2"/>
      <c r="P107" s="2"/>
      <c r="Q107" s="2"/>
      <c r="R107" s="3"/>
      <c r="S107" s="2"/>
      <c r="T107" s="2"/>
      <c r="U107" s="2"/>
      <c r="V107" s="2"/>
      <c r="W107" s="2"/>
      <c r="X107" s="2"/>
      <c r="Y107" s="2"/>
      <c r="Z107" s="2"/>
      <c r="AA107" s="2"/>
      <c r="AB107" s="2"/>
      <c r="AC107" s="2"/>
      <c r="AD107" s="2"/>
    </row>
    <row r="108" spans="1:30" ht="22.5" customHeight="1" x14ac:dyDescent="0.25">
      <c r="A108" s="8">
        <f t="shared" si="1"/>
        <v>107</v>
      </c>
      <c r="B108" s="24" t="s">
        <v>137</v>
      </c>
      <c r="C108" s="27">
        <v>42919</v>
      </c>
      <c r="D108" s="4">
        <v>25</v>
      </c>
      <c r="E108" s="4" t="s">
        <v>19</v>
      </c>
      <c r="F108" s="4" t="s">
        <v>50</v>
      </c>
      <c r="G108" s="4" t="s">
        <v>21</v>
      </c>
      <c r="H108" s="44" t="s">
        <v>622</v>
      </c>
      <c r="I108" s="5" t="s">
        <v>133</v>
      </c>
      <c r="J108" s="36" t="s">
        <v>134</v>
      </c>
      <c r="K108" s="2"/>
      <c r="L108" s="2"/>
      <c r="M108" s="2"/>
      <c r="N108" s="2"/>
      <c r="O108" s="2"/>
      <c r="P108" s="2"/>
      <c r="Q108" s="2"/>
      <c r="R108" s="3"/>
      <c r="S108" s="2"/>
      <c r="T108" s="2"/>
      <c r="U108" s="2"/>
      <c r="V108" s="2"/>
      <c r="W108" s="2"/>
      <c r="X108" s="2"/>
      <c r="Y108" s="2"/>
      <c r="Z108" s="2"/>
      <c r="AA108" s="2"/>
      <c r="AB108" s="2"/>
      <c r="AC108" s="2"/>
      <c r="AD108" s="2"/>
    </row>
    <row r="109" spans="1:30" ht="22.5" customHeight="1" x14ac:dyDescent="0.25">
      <c r="A109" s="8">
        <f t="shared" si="1"/>
        <v>108</v>
      </c>
      <c r="B109" s="24" t="s">
        <v>156</v>
      </c>
      <c r="C109" s="27">
        <v>42633</v>
      </c>
      <c r="D109" s="4">
        <v>37</v>
      </c>
      <c r="E109" s="4" t="s">
        <v>19</v>
      </c>
      <c r="F109" s="4" t="s">
        <v>39</v>
      </c>
      <c r="G109" s="4" t="s">
        <v>21</v>
      </c>
      <c r="H109" s="44" t="s">
        <v>622</v>
      </c>
      <c r="I109" s="5" t="s">
        <v>133</v>
      </c>
      <c r="J109" s="36" t="s">
        <v>134</v>
      </c>
      <c r="K109" s="2"/>
      <c r="L109" s="2"/>
      <c r="M109" s="2"/>
      <c r="N109" s="2"/>
      <c r="O109" s="2"/>
      <c r="P109" s="2"/>
      <c r="Q109" s="2"/>
      <c r="R109" s="3"/>
      <c r="S109" s="2"/>
      <c r="T109" s="2"/>
      <c r="U109" s="2"/>
      <c r="V109" s="2"/>
      <c r="W109" s="2"/>
      <c r="X109" s="2"/>
      <c r="Y109" s="2"/>
      <c r="Z109" s="2"/>
      <c r="AA109" s="2"/>
      <c r="AB109" s="2"/>
      <c r="AC109" s="2"/>
      <c r="AD109" s="2"/>
    </row>
    <row r="110" spans="1:30" ht="22.5" customHeight="1" x14ac:dyDescent="0.25">
      <c r="A110" s="8">
        <f t="shared" si="1"/>
        <v>109</v>
      </c>
      <c r="B110" s="24" t="s">
        <v>283</v>
      </c>
      <c r="C110" s="27">
        <v>41161</v>
      </c>
      <c r="D110" s="4">
        <v>32</v>
      </c>
      <c r="E110" s="4" t="s">
        <v>25</v>
      </c>
      <c r="F110" s="4" t="s">
        <v>20</v>
      </c>
      <c r="G110" s="4" t="s">
        <v>21</v>
      </c>
      <c r="H110" s="44" t="s">
        <v>620</v>
      </c>
      <c r="I110" s="5" t="s">
        <v>133</v>
      </c>
      <c r="J110" s="36" t="s">
        <v>134</v>
      </c>
      <c r="K110" s="2"/>
      <c r="L110" s="2"/>
      <c r="M110" s="2"/>
      <c r="N110" s="2"/>
      <c r="O110" s="2"/>
      <c r="P110" s="2"/>
      <c r="Q110" s="2"/>
      <c r="R110" s="3"/>
      <c r="S110" s="2"/>
      <c r="T110" s="2"/>
      <c r="U110" s="2"/>
      <c r="V110" s="2"/>
      <c r="W110" s="2"/>
      <c r="X110" s="2"/>
      <c r="Y110" s="2"/>
      <c r="Z110" s="2"/>
      <c r="AA110" s="2"/>
      <c r="AB110" s="2"/>
      <c r="AC110" s="2"/>
      <c r="AD110" s="2"/>
    </row>
    <row r="111" spans="1:30" ht="22.5" customHeight="1" x14ac:dyDescent="0.25">
      <c r="A111" s="8">
        <f t="shared" si="1"/>
        <v>110</v>
      </c>
      <c r="B111" s="24" t="s">
        <v>136</v>
      </c>
      <c r="C111" s="27">
        <v>40888</v>
      </c>
      <c r="D111" s="4">
        <v>38</v>
      </c>
      <c r="E111" s="4" t="s">
        <v>25</v>
      </c>
      <c r="F111" s="4" t="s">
        <v>39</v>
      </c>
      <c r="G111" s="4" t="s">
        <v>21</v>
      </c>
      <c r="H111" s="44" t="s">
        <v>620</v>
      </c>
      <c r="I111" s="5" t="s">
        <v>133</v>
      </c>
      <c r="J111" s="36" t="s">
        <v>134</v>
      </c>
      <c r="K111" s="2"/>
      <c r="L111" s="2"/>
      <c r="M111" s="2"/>
      <c r="N111" s="2"/>
      <c r="O111" s="2"/>
      <c r="P111" s="2"/>
      <c r="Q111" s="2"/>
      <c r="R111" s="3"/>
      <c r="S111" s="2"/>
      <c r="T111" s="2"/>
      <c r="U111" s="2"/>
      <c r="V111" s="2"/>
      <c r="W111" s="2"/>
      <c r="X111" s="2"/>
      <c r="Y111" s="2"/>
      <c r="Z111" s="2"/>
      <c r="AA111" s="2"/>
      <c r="AB111" s="2"/>
      <c r="AC111" s="2"/>
      <c r="AD111" s="2"/>
    </row>
    <row r="112" spans="1:30" ht="22.5" customHeight="1" x14ac:dyDescent="0.25">
      <c r="A112" s="8">
        <f t="shared" si="1"/>
        <v>111</v>
      </c>
      <c r="B112" s="24" t="s">
        <v>138</v>
      </c>
      <c r="C112" s="27">
        <v>40761</v>
      </c>
      <c r="D112" s="4">
        <v>54</v>
      </c>
      <c r="E112" s="4" t="s">
        <v>19</v>
      </c>
      <c r="F112" s="4" t="s">
        <v>50</v>
      </c>
      <c r="G112" s="4" t="s">
        <v>21</v>
      </c>
      <c r="H112" s="44" t="s">
        <v>621</v>
      </c>
      <c r="I112" s="5" t="s">
        <v>133</v>
      </c>
      <c r="J112" s="36" t="s">
        <v>134</v>
      </c>
      <c r="K112" s="2"/>
      <c r="L112" s="2"/>
      <c r="M112" s="2"/>
      <c r="N112" s="2"/>
      <c r="O112" s="2"/>
      <c r="P112" s="2"/>
      <c r="Q112" s="2"/>
      <c r="R112" s="3"/>
      <c r="S112" s="2"/>
      <c r="T112" s="2"/>
      <c r="U112" s="2"/>
      <c r="V112" s="2"/>
      <c r="W112" s="2"/>
      <c r="X112" s="2"/>
      <c r="Y112" s="2"/>
      <c r="Z112" s="2"/>
      <c r="AA112" s="2"/>
      <c r="AB112" s="2"/>
      <c r="AC112" s="2"/>
      <c r="AD112" s="2"/>
    </row>
    <row r="113" spans="1:30" ht="22.5" customHeight="1" x14ac:dyDescent="0.25">
      <c r="A113" s="8">
        <f t="shared" si="1"/>
        <v>112</v>
      </c>
      <c r="B113" s="24" t="s">
        <v>135</v>
      </c>
      <c r="C113" s="27">
        <v>36723</v>
      </c>
      <c r="D113" s="4">
        <v>52</v>
      </c>
      <c r="E113" s="4" t="s">
        <v>19</v>
      </c>
      <c r="F113" s="4" t="s">
        <v>20</v>
      </c>
      <c r="G113" s="4" t="s">
        <v>21</v>
      </c>
      <c r="H113" s="44" t="s">
        <v>621</v>
      </c>
      <c r="I113" s="5" t="s">
        <v>133</v>
      </c>
      <c r="J113" s="36" t="s">
        <v>134</v>
      </c>
      <c r="K113" s="2"/>
      <c r="L113" s="2"/>
      <c r="M113" s="2"/>
      <c r="N113" s="2"/>
      <c r="O113" s="2"/>
      <c r="P113" s="2"/>
      <c r="Q113" s="2"/>
      <c r="R113" s="3"/>
      <c r="S113" s="2"/>
      <c r="T113" s="2"/>
      <c r="U113" s="2"/>
      <c r="V113" s="2"/>
      <c r="W113" s="2"/>
      <c r="X113" s="2"/>
      <c r="Y113" s="2"/>
      <c r="Z113" s="2"/>
      <c r="AA113" s="2"/>
      <c r="AB113" s="2"/>
      <c r="AC113" s="2"/>
      <c r="AD113" s="2"/>
    </row>
    <row r="114" spans="1:30" ht="22.5" customHeight="1" x14ac:dyDescent="0.25">
      <c r="A114" s="8">
        <f t="shared" si="1"/>
        <v>113</v>
      </c>
      <c r="B114" s="24" t="s">
        <v>91</v>
      </c>
      <c r="C114" s="27">
        <v>43160</v>
      </c>
      <c r="D114" s="4">
        <v>39</v>
      </c>
      <c r="E114" s="4" t="s">
        <v>19</v>
      </c>
      <c r="F114" s="4" t="s">
        <v>28</v>
      </c>
      <c r="G114" s="4" t="s">
        <v>21</v>
      </c>
      <c r="H114" s="44" t="s">
        <v>620</v>
      </c>
      <c r="I114" s="5" t="s">
        <v>22</v>
      </c>
      <c r="J114" s="36" t="s">
        <v>36</v>
      </c>
      <c r="K114" s="2"/>
      <c r="L114" s="2"/>
      <c r="M114" s="2"/>
      <c r="N114" s="2"/>
      <c r="O114" s="2"/>
      <c r="P114" s="2"/>
      <c r="Q114" s="2"/>
      <c r="R114" s="3"/>
      <c r="S114" s="2"/>
      <c r="T114" s="2"/>
      <c r="U114" s="2"/>
      <c r="V114" s="2"/>
      <c r="W114" s="2"/>
      <c r="X114" s="2"/>
      <c r="Y114" s="2"/>
      <c r="Z114" s="2"/>
      <c r="AA114" s="2"/>
      <c r="AB114" s="2"/>
      <c r="AC114" s="2"/>
      <c r="AD114" s="2"/>
    </row>
    <row r="115" spans="1:30" ht="22.5" customHeight="1" x14ac:dyDescent="0.25">
      <c r="A115" s="8">
        <f t="shared" si="1"/>
        <v>114</v>
      </c>
      <c r="B115" s="24" t="s">
        <v>94</v>
      </c>
      <c r="C115" s="27">
        <v>42983</v>
      </c>
      <c r="D115" s="4">
        <v>20</v>
      </c>
      <c r="E115" s="4" t="s">
        <v>19</v>
      </c>
      <c r="F115" s="4" t="s">
        <v>42</v>
      </c>
      <c r="G115" s="4" t="s">
        <v>21</v>
      </c>
      <c r="H115" s="44" t="s">
        <v>622</v>
      </c>
      <c r="I115" s="5" t="s">
        <v>22</v>
      </c>
      <c r="J115" s="36" t="s">
        <v>36</v>
      </c>
      <c r="K115" s="2"/>
      <c r="L115" s="2"/>
      <c r="M115" s="2"/>
      <c r="N115" s="2"/>
      <c r="O115" s="2"/>
      <c r="P115" s="2"/>
      <c r="Q115" s="2"/>
      <c r="R115" s="3"/>
      <c r="S115" s="2"/>
      <c r="T115" s="2"/>
      <c r="U115" s="2"/>
      <c r="V115" s="2"/>
      <c r="W115" s="2"/>
      <c r="X115" s="2"/>
      <c r="Y115" s="2"/>
      <c r="Z115" s="2"/>
      <c r="AA115" s="2"/>
      <c r="AB115" s="2"/>
      <c r="AC115" s="2"/>
      <c r="AD115" s="2"/>
    </row>
    <row r="116" spans="1:30" ht="22.5" customHeight="1" x14ac:dyDescent="0.25">
      <c r="A116" s="8">
        <f t="shared" si="1"/>
        <v>115</v>
      </c>
      <c r="B116" s="24" t="s">
        <v>38</v>
      </c>
      <c r="C116" s="27">
        <v>42578</v>
      </c>
      <c r="D116" s="4">
        <v>27</v>
      </c>
      <c r="E116" s="4" t="s">
        <v>19</v>
      </c>
      <c r="F116" s="4" t="s">
        <v>39</v>
      </c>
      <c r="G116" s="4" t="s">
        <v>21</v>
      </c>
      <c r="H116" s="44" t="s">
        <v>621</v>
      </c>
      <c r="I116" s="5" t="s">
        <v>22</v>
      </c>
      <c r="J116" s="36" t="s">
        <v>36</v>
      </c>
      <c r="K116" s="2"/>
      <c r="L116" s="2"/>
      <c r="M116" s="2"/>
      <c r="N116" s="2"/>
      <c r="O116" s="2"/>
      <c r="P116" s="2"/>
      <c r="Q116" s="2"/>
      <c r="R116" s="3"/>
      <c r="S116" s="2"/>
      <c r="T116" s="2"/>
      <c r="U116" s="2"/>
      <c r="V116" s="2"/>
      <c r="W116" s="2"/>
      <c r="X116" s="2"/>
      <c r="Y116" s="2"/>
      <c r="Z116" s="2"/>
      <c r="AA116" s="2"/>
      <c r="AB116" s="2"/>
      <c r="AC116" s="2"/>
      <c r="AD116" s="2"/>
    </row>
    <row r="117" spans="1:30" ht="22.5" customHeight="1" x14ac:dyDescent="0.25">
      <c r="A117" s="8">
        <f t="shared" si="1"/>
        <v>116</v>
      </c>
      <c r="B117" s="24" t="s">
        <v>93</v>
      </c>
      <c r="C117" s="27">
        <v>42572</v>
      </c>
      <c r="D117" s="4">
        <v>35</v>
      </c>
      <c r="E117" s="4" t="s">
        <v>19</v>
      </c>
      <c r="F117" s="4" t="s">
        <v>34</v>
      </c>
      <c r="G117" s="4" t="s">
        <v>21</v>
      </c>
      <c r="H117" s="44" t="s">
        <v>622</v>
      </c>
      <c r="I117" s="5" t="s">
        <v>22</v>
      </c>
      <c r="J117" s="36" t="s">
        <v>36</v>
      </c>
      <c r="K117" s="2"/>
      <c r="L117" s="2"/>
      <c r="M117" s="2"/>
      <c r="N117" s="2"/>
      <c r="O117" s="2"/>
      <c r="P117" s="2"/>
      <c r="Q117" s="2"/>
      <c r="R117" s="3"/>
      <c r="S117" s="2"/>
      <c r="T117" s="2"/>
      <c r="U117" s="2"/>
      <c r="V117" s="2"/>
      <c r="W117" s="2"/>
      <c r="X117" s="2"/>
      <c r="Y117" s="2"/>
      <c r="Z117" s="2"/>
      <c r="AA117" s="2"/>
      <c r="AB117" s="2"/>
      <c r="AC117" s="2"/>
      <c r="AD117" s="2"/>
    </row>
    <row r="118" spans="1:30" ht="22.5" customHeight="1" x14ac:dyDescent="0.25">
      <c r="A118" s="8">
        <f t="shared" si="1"/>
        <v>117</v>
      </c>
      <c r="B118" s="24" t="s">
        <v>95</v>
      </c>
      <c r="C118" s="27">
        <v>42522</v>
      </c>
      <c r="D118" s="4">
        <v>45</v>
      </c>
      <c r="E118" s="4" t="s">
        <v>19</v>
      </c>
      <c r="F118" s="4" t="s">
        <v>39</v>
      </c>
      <c r="G118" s="4" t="s">
        <v>21</v>
      </c>
      <c r="H118" s="44" t="s">
        <v>622</v>
      </c>
      <c r="I118" s="5" t="s">
        <v>22</v>
      </c>
      <c r="J118" s="36" t="s">
        <v>36</v>
      </c>
      <c r="K118" s="2"/>
      <c r="L118" s="2"/>
      <c r="M118" s="2"/>
      <c r="N118" s="2"/>
      <c r="O118" s="2"/>
      <c r="P118" s="2"/>
      <c r="Q118" s="2"/>
      <c r="R118" s="3"/>
      <c r="S118" s="2"/>
      <c r="T118" s="2"/>
      <c r="U118" s="2"/>
      <c r="V118" s="2"/>
      <c r="W118" s="2"/>
      <c r="X118" s="2"/>
      <c r="Y118" s="2"/>
      <c r="Z118" s="2"/>
      <c r="AA118" s="2"/>
      <c r="AB118" s="2"/>
      <c r="AC118" s="2"/>
      <c r="AD118" s="2"/>
    </row>
    <row r="119" spans="1:30" ht="22.5" customHeight="1" x14ac:dyDescent="0.25">
      <c r="A119" s="8">
        <f t="shared" si="1"/>
        <v>118</v>
      </c>
      <c r="B119" s="24" t="s">
        <v>587</v>
      </c>
      <c r="C119" s="27">
        <v>42180</v>
      </c>
      <c r="D119" s="4">
        <v>30</v>
      </c>
      <c r="E119" s="18" t="s">
        <v>25</v>
      </c>
      <c r="F119" s="18" t="s">
        <v>28</v>
      </c>
      <c r="G119" s="18" t="s">
        <v>21</v>
      </c>
      <c r="H119" s="44" t="s">
        <v>620</v>
      </c>
      <c r="I119" s="19" t="s">
        <v>22</v>
      </c>
      <c r="J119" s="37" t="s">
        <v>36</v>
      </c>
      <c r="K119" s="2"/>
      <c r="L119" s="2"/>
      <c r="M119" s="2"/>
      <c r="N119" s="2"/>
      <c r="O119" s="2"/>
      <c r="P119" s="2"/>
      <c r="Q119" s="2"/>
      <c r="R119" s="3"/>
      <c r="S119" s="2"/>
      <c r="T119" s="2"/>
      <c r="U119" s="2"/>
      <c r="V119" s="2"/>
      <c r="W119" s="2"/>
      <c r="X119" s="2"/>
      <c r="Y119" s="2"/>
      <c r="Z119" s="2"/>
      <c r="AA119" s="2"/>
      <c r="AB119" s="2"/>
      <c r="AC119" s="2"/>
      <c r="AD119" s="2"/>
    </row>
    <row r="120" spans="1:30" ht="22.5" customHeight="1" x14ac:dyDescent="0.25">
      <c r="A120" s="8">
        <f t="shared" si="1"/>
        <v>119</v>
      </c>
      <c r="B120" s="24" t="s">
        <v>46</v>
      </c>
      <c r="C120" s="27">
        <v>42166</v>
      </c>
      <c r="D120" s="4">
        <v>25</v>
      </c>
      <c r="E120" s="4" t="s">
        <v>19</v>
      </c>
      <c r="F120" s="4" t="s">
        <v>28</v>
      </c>
      <c r="G120" s="4" t="s">
        <v>21</v>
      </c>
      <c r="H120" s="44" t="s">
        <v>620</v>
      </c>
      <c r="I120" s="5" t="s">
        <v>22</v>
      </c>
      <c r="J120" s="36" t="s">
        <v>36</v>
      </c>
      <c r="K120" s="2"/>
      <c r="L120" s="2"/>
      <c r="M120" s="2"/>
      <c r="N120" s="2"/>
      <c r="O120" s="2"/>
      <c r="P120" s="2"/>
      <c r="Q120" s="2"/>
      <c r="R120" s="3"/>
      <c r="S120" s="2"/>
      <c r="T120" s="2"/>
      <c r="U120" s="2"/>
      <c r="V120" s="2"/>
      <c r="W120" s="2"/>
      <c r="X120" s="2"/>
      <c r="Y120" s="2"/>
      <c r="Z120" s="2"/>
      <c r="AA120" s="2"/>
      <c r="AB120" s="2"/>
      <c r="AC120" s="2"/>
      <c r="AD120" s="2"/>
    </row>
    <row r="121" spans="1:30" ht="22.5" customHeight="1" x14ac:dyDescent="0.25">
      <c r="A121" s="8">
        <f t="shared" si="1"/>
        <v>120</v>
      </c>
      <c r="B121" s="24" t="s">
        <v>41</v>
      </c>
      <c r="C121" s="27">
        <v>41346</v>
      </c>
      <c r="D121" s="4">
        <v>30</v>
      </c>
      <c r="E121" s="4" t="s">
        <v>25</v>
      </c>
      <c r="F121" s="4" t="s">
        <v>42</v>
      </c>
      <c r="G121" s="4" t="s">
        <v>21</v>
      </c>
      <c r="H121" s="44" t="s">
        <v>621</v>
      </c>
      <c r="I121" s="5" t="s">
        <v>22</v>
      </c>
      <c r="J121" s="36" t="s">
        <v>36</v>
      </c>
      <c r="K121" s="2"/>
      <c r="L121" s="2"/>
      <c r="M121" s="2"/>
      <c r="N121" s="2"/>
      <c r="O121" s="2"/>
      <c r="P121" s="2"/>
      <c r="Q121" s="2"/>
      <c r="R121" s="3"/>
      <c r="S121" s="2"/>
      <c r="T121" s="2"/>
      <c r="U121" s="2"/>
      <c r="V121" s="2"/>
      <c r="W121" s="2"/>
      <c r="X121" s="2"/>
      <c r="Y121" s="2"/>
      <c r="Z121" s="2"/>
      <c r="AA121" s="2"/>
      <c r="AB121" s="2"/>
      <c r="AC121" s="2"/>
      <c r="AD121" s="2"/>
    </row>
    <row r="122" spans="1:30" ht="22.5" customHeight="1" x14ac:dyDescent="0.25">
      <c r="A122" s="8">
        <f t="shared" si="1"/>
        <v>121</v>
      </c>
      <c r="B122" s="24" t="s">
        <v>40</v>
      </c>
      <c r="C122" s="27">
        <v>41312</v>
      </c>
      <c r="D122" s="4">
        <v>55</v>
      </c>
      <c r="E122" s="4" t="s">
        <v>19</v>
      </c>
      <c r="F122" s="4" t="s">
        <v>34</v>
      </c>
      <c r="G122" s="4" t="s">
        <v>21</v>
      </c>
      <c r="H122" s="44" t="s">
        <v>621</v>
      </c>
      <c r="I122" s="5" t="s">
        <v>22</v>
      </c>
      <c r="J122" s="36" t="s">
        <v>36</v>
      </c>
      <c r="K122" s="2"/>
      <c r="L122" s="2"/>
      <c r="M122" s="2"/>
      <c r="N122" s="2"/>
      <c r="O122" s="2"/>
      <c r="P122" s="2"/>
      <c r="Q122" s="2"/>
      <c r="R122" s="3"/>
      <c r="S122" s="2"/>
      <c r="T122" s="2"/>
      <c r="U122" s="2"/>
      <c r="V122" s="2"/>
      <c r="W122" s="2"/>
      <c r="X122" s="2"/>
      <c r="Y122" s="2"/>
      <c r="Z122" s="2"/>
      <c r="AA122" s="2"/>
      <c r="AB122" s="2"/>
      <c r="AC122" s="2"/>
      <c r="AD122" s="2"/>
    </row>
    <row r="123" spans="1:30" ht="22.5" customHeight="1" x14ac:dyDescent="0.25">
      <c r="A123" s="8">
        <f t="shared" si="1"/>
        <v>122</v>
      </c>
      <c r="B123" s="24" t="s">
        <v>595</v>
      </c>
      <c r="C123" s="27">
        <v>41025</v>
      </c>
      <c r="D123" s="4">
        <v>50</v>
      </c>
      <c r="E123" s="4" t="s">
        <v>19</v>
      </c>
      <c r="F123" s="4" t="s">
        <v>28</v>
      </c>
      <c r="G123" s="4" t="s">
        <v>21</v>
      </c>
      <c r="H123" s="44" t="s">
        <v>620</v>
      </c>
      <c r="I123" s="5" t="s">
        <v>22</v>
      </c>
      <c r="J123" s="36" t="s">
        <v>36</v>
      </c>
      <c r="K123" s="2"/>
      <c r="L123" s="2"/>
      <c r="M123" s="2"/>
      <c r="N123" s="2"/>
      <c r="O123" s="2"/>
      <c r="P123" s="2"/>
      <c r="Q123" s="2"/>
      <c r="R123" s="3"/>
      <c r="S123" s="2"/>
      <c r="T123" s="2"/>
      <c r="U123" s="2"/>
      <c r="V123" s="2"/>
      <c r="W123" s="2"/>
      <c r="X123" s="2"/>
      <c r="Y123" s="2"/>
      <c r="Z123" s="2"/>
      <c r="AA123" s="2"/>
      <c r="AB123" s="2"/>
      <c r="AC123" s="2"/>
      <c r="AD123" s="2"/>
    </row>
    <row r="124" spans="1:30" ht="22.5" customHeight="1" x14ac:dyDescent="0.25">
      <c r="A124" s="8">
        <f t="shared" si="1"/>
        <v>123</v>
      </c>
      <c r="B124" s="24" t="s">
        <v>43</v>
      </c>
      <c r="C124" s="27">
        <v>40872</v>
      </c>
      <c r="D124" s="4">
        <v>45</v>
      </c>
      <c r="E124" s="4" t="s">
        <v>25</v>
      </c>
      <c r="F124" s="4" t="s">
        <v>37</v>
      </c>
      <c r="G124" s="4" t="s">
        <v>21</v>
      </c>
      <c r="H124" s="44" t="s">
        <v>622</v>
      </c>
      <c r="I124" s="5" t="s">
        <v>22</v>
      </c>
      <c r="J124" s="36" t="s">
        <v>36</v>
      </c>
      <c r="K124" s="2"/>
      <c r="L124" s="2"/>
      <c r="M124" s="2"/>
      <c r="N124" s="2"/>
      <c r="O124" s="2"/>
      <c r="P124" s="2"/>
      <c r="Q124" s="2"/>
      <c r="R124" s="3"/>
      <c r="S124" s="2"/>
      <c r="T124" s="2"/>
      <c r="U124" s="2"/>
      <c r="V124" s="2"/>
      <c r="W124" s="2"/>
      <c r="X124" s="2"/>
      <c r="Y124" s="2"/>
      <c r="Z124" s="2"/>
      <c r="AA124" s="2"/>
      <c r="AB124" s="2"/>
      <c r="AC124" s="2"/>
      <c r="AD124" s="2"/>
    </row>
    <row r="125" spans="1:30" ht="22.5" customHeight="1" x14ac:dyDescent="0.25">
      <c r="A125" s="8">
        <f t="shared" si="1"/>
        <v>124</v>
      </c>
      <c r="B125" s="24" t="s">
        <v>35</v>
      </c>
      <c r="C125" s="27">
        <v>40393</v>
      </c>
      <c r="D125" s="4">
        <v>55</v>
      </c>
      <c r="E125" s="4" t="s">
        <v>25</v>
      </c>
      <c r="F125" s="4" t="s">
        <v>20</v>
      </c>
      <c r="G125" s="4" t="s">
        <v>21</v>
      </c>
      <c r="H125" s="44" t="s">
        <v>621</v>
      </c>
      <c r="I125" s="5" t="s">
        <v>22</v>
      </c>
      <c r="J125" s="36" t="s">
        <v>36</v>
      </c>
      <c r="K125" s="2"/>
      <c r="L125" s="2"/>
      <c r="M125" s="2"/>
      <c r="N125" s="2"/>
      <c r="O125" s="2"/>
      <c r="P125" s="2"/>
      <c r="Q125" s="2"/>
      <c r="R125" s="3"/>
      <c r="S125" s="2"/>
      <c r="T125" s="2"/>
      <c r="U125" s="2"/>
      <c r="V125" s="2"/>
      <c r="W125" s="2"/>
      <c r="X125" s="2"/>
      <c r="Y125" s="2"/>
      <c r="Z125" s="2"/>
      <c r="AA125" s="2"/>
      <c r="AB125" s="2"/>
      <c r="AC125" s="2"/>
      <c r="AD125" s="2"/>
    </row>
    <row r="126" spans="1:30" ht="22.5" customHeight="1" x14ac:dyDescent="0.25">
      <c r="A126" s="8">
        <f t="shared" si="1"/>
        <v>125</v>
      </c>
      <c r="B126" s="24" t="s">
        <v>52</v>
      </c>
      <c r="C126" s="27">
        <v>40473</v>
      </c>
      <c r="D126" s="4">
        <v>42</v>
      </c>
      <c r="E126" s="4" t="s">
        <v>19</v>
      </c>
      <c r="F126" s="4" t="s">
        <v>32</v>
      </c>
      <c r="G126" s="4" t="s">
        <v>21</v>
      </c>
      <c r="H126" s="44" t="s">
        <v>622</v>
      </c>
      <c r="I126" s="5" t="s">
        <v>22</v>
      </c>
      <c r="J126" s="36" t="s">
        <v>36</v>
      </c>
      <c r="K126" s="2"/>
      <c r="L126" s="2"/>
      <c r="M126" s="2"/>
      <c r="N126" s="2"/>
      <c r="O126" s="2"/>
      <c r="P126" s="2"/>
      <c r="Q126" s="2"/>
      <c r="R126" s="3"/>
      <c r="S126" s="2"/>
      <c r="T126" s="2"/>
      <c r="U126" s="2"/>
      <c r="V126" s="2"/>
      <c r="W126" s="2"/>
      <c r="X126" s="2"/>
      <c r="Y126" s="2"/>
      <c r="Z126" s="2"/>
      <c r="AA126" s="2"/>
      <c r="AB126" s="2"/>
      <c r="AC126" s="2"/>
      <c r="AD126" s="2"/>
    </row>
    <row r="127" spans="1:30" ht="19.5" customHeight="1" x14ac:dyDescent="0.25">
      <c r="A127" s="8">
        <f t="shared" si="1"/>
        <v>126</v>
      </c>
      <c r="B127" s="24" t="s">
        <v>92</v>
      </c>
      <c r="C127" s="27">
        <v>40803</v>
      </c>
      <c r="D127" s="4">
        <v>45</v>
      </c>
      <c r="E127" s="4" t="s">
        <v>19</v>
      </c>
      <c r="F127" s="4" t="s">
        <v>42</v>
      </c>
      <c r="G127" s="4" t="s">
        <v>21</v>
      </c>
      <c r="H127" s="44" t="s">
        <v>622</v>
      </c>
      <c r="I127" s="5" t="s">
        <v>22</v>
      </c>
      <c r="J127" s="36" t="s">
        <v>36</v>
      </c>
      <c r="K127" s="2"/>
      <c r="L127" s="2"/>
      <c r="M127" s="2"/>
      <c r="N127" s="2"/>
      <c r="O127" s="2"/>
      <c r="P127" s="2"/>
      <c r="Q127" s="2"/>
      <c r="R127" s="3"/>
      <c r="S127" s="2"/>
      <c r="T127" s="2"/>
      <c r="U127" s="2"/>
      <c r="V127" s="2"/>
      <c r="W127" s="2"/>
      <c r="X127" s="2"/>
      <c r="Y127" s="2"/>
      <c r="Z127" s="2"/>
      <c r="AA127" s="2"/>
      <c r="AB127" s="2"/>
      <c r="AC127" s="2"/>
      <c r="AD127" s="2"/>
    </row>
    <row r="128" spans="1:30" ht="22.5" customHeight="1" x14ac:dyDescent="0.25">
      <c r="A128" s="8">
        <f t="shared" si="1"/>
        <v>127</v>
      </c>
      <c r="B128" s="24" t="s">
        <v>60</v>
      </c>
      <c r="C128" s="27">
        <v>40851</v>
      </c>
      <c r="D128" s="4">
        <v>55</v>
      </c>
      <c r="E128" s="4" t="s">
        <v>19</v>
      </c>
      <c r="F128" s="4" t="s">
        <v>61</v>
      </c>
      <c r="G128" s="4" t="s">
        <v>21</v>
      </c>
      <c r="H128" s="44" t="s">
        <v>620</v>
      </c>
      <c r="I128" s="5" t="s">
        <v>22</v>
      </c>
      <c r="J128" s="36" t="s">
        <v>36</v>
      </c>
      <c r="K128" s="2"/>
      <c r="L128" s="2"/>
      <c r="M128" s="2"/>
      <c r="N128" s="2"/>
      <c r="O128" s="2"/>
      <c r="P128" s="2"/>
      <c r="Q128" s="2"/>
      <c r="R128" s="3"/>
      <c r="S128" s="2"/>
      <c r="T128" s="2"/>
      <c r="U128" s="2"/>
      <c r="V128" s="2"/>
      <c r="W128" s="2"/>
      <c r="X128" s="2"/>
      <c r="Y128" s="2"/>
      <c r="Z128" s="2"/>
      <c r="AA128" s="2"/>
      <c r="AB128" s="2"/>
      <c r="AC128" s="2"/>
      <c r="AD128" s="2"/>
    </row>
    <row r="129" spans="1:30" ht="22.5" customHeight="1" x14ac:dyDescent="0.25">
      <c r="A129" s="8">
        <f t="shared" si="1"/>
        <v>128</v>
      </c>
      <c r="B129" s="24" t="s">
        <v>49</v>
      </c>
      <c r="C129" s="27">
        <v>32108</v>
      </c>
      <c r="D129" s="4">
        <v>68</v>
      </c>
      <c r="E129" s="4" t="s">
        <v>19</v>
      </c>
      <c r="F129" s="4" t="s">
        <v>50</v>
      </c>
      <c r="G129" s="4" t="s">
        <v>51</v>
      </c>
      <c r="H129" s="44" t="s">
        <v>620</v>
      </c>
      <c r="I129" s="5" t="s">
        <v>22</v>
      </c>
      <c r="J129" s="36" t="s">
        <v>36</v>
      </c>
      <c r="K129" s="2"/>
      <c r="L129" s="2"/>
      <c r="M129" s="2"/>
      <c r="N129" s="2"/>
      <c r="O129" s="2"/>
      <c r="P129" s="2"/>
      <c r="Q129" s="2"/>
      <c r="R129" s="3"/>
      <c r="S129" s="2"/>
      <c r="T129" s="2"/>
      <c r="U129" s="2"/>
      <c r="V129" s="2"/>
      <c r="W129" s="2"/>
      <c r="X129" s="2"/>
      <c r="Y129" s="2"/>
      <c r="Z129" s="2"/>
      <c r="AA129" s="2"/>
      <c r="AB129" s="2"/>
      <c r="AC129" s="2"/>
      <c r="AD129" s="2"/>
    </row>
    <row r="130" spans="1:30" ht="22.5" customHeight="1" x14ac:dyDescent="0.25">
      <c r="A130" s="8">
        <f t="shared" si="1"/>
        <v>129</v>
      </c>
      <c r="B130" s="24" t="s">
        <v>96</v>
      </c>
      <c r="C130" s="27">
        <v>42891</v>
      </c>
      <c r="D130" s="4">
        <v>35</v>
      </c>
      <c r="E130" s="4" t="s">
        <v>19</v>
      </c>
      <c r="F130" s="4" t="s">
        <v>39</v>
      </c>
      <c r="G130" s="4" t="s">
        <v>45</v>
      </c>
      <c r="H130" s="44" t="s">
        <v>621</v>
      </c>
      <c r="I130" s="5" t="s">
        <v>22</v>
      </c>
      <c r="J130" s="36" t="s">
        <v>36</v>
      </c>
      <c r="K130" s="2"/>
      <c r="L130" s="2"/>
      <c r="M130" s="2"/>
      <c r="N130" s="2"/>
      <c r="O130" s="2"/>
      <c r="P130" s="2"/>
      <c r="Q130" s="2"/>
      <c r="R130" s="3"/>
      <c r="S130" s="2"/>
      <c r="T130" s="2"/>
      <c r="U130" s="2"/>
      <c r="V130" s="2"/>
      <c r="W130" s="2"/>
      <c r="X130" s="2"/>
      <c r="Y130" s="2"/>
      <c r="Z130" s="2"/>
      <c r="AA130" s="2"/>
      <c r="AB130" s="2"/>
      <c r="AC130" s="2"/>
      <c r="AD130" s="2"/>
    </row>
    <row r="131" spans="1:30" ht="22.5" customHeight="1" x14ac:dyDescent="0.25">
      <c r="A131" s="8">
        <f t="shared" ref="A131:A194" si="2">A130+1</f>
        <v>130</v>
      </c>
      <c r="B131" s="24" t="s">
        <v>44</v>
      </c>
      <c r="C131" s="27">
        <v>40701</v>
      </c>
      <c r="D131" s="4">
        <v>38</v>
      </c>
      <c r="E131" s="4" t="s">
        <v>25</v>
      </c>
      <c r="F131" s="4" t="s">
        <v>39</v>
      </c>
      <c r="G131" s="4" t="s">
        <v>45</v>
      </c>
      <c r="H131" s="44" t="s">
        <v>621</v>
      </c>
      <c r="I131" s="5" t="s">
        <v>22</v>
      </c>
      <c r="J131" s="36" t="s">
        <v>36</v>
      </c>
      <c r="K131" s="2"/>
      <c r="L131" s="2"/>
      <c r="M131" s="2"/>
      <c r="N131" s="2"/>
      <c r="O131" s="2"/>
      <c r="P131" s="2"/>
      <c r="Q131" s="2"/>
      <c r="R131" s="3"/>
      <c r="S131" s="2"/>
      <c r="T131" s="2"/>
      <c r="U131" s="2"/>
      <c r="V131" s="2"/>
      <c r="W131" s="2"/>
      <c r="X131" s="2"/>
      <c r="Y131" s="2"/>
      <c r="Z131" s="2"/>
      <c r="AA131" s="2"/>
      <c r="AB131" s="2"/>
      <c r="AC131" s="2"/>
      <c r="AD131" s="2"/>
    </row>
    <row r="132" spans="1:30" ht="22.5" customHeight="1" x14ac:dyDescent="0.25">
      <c r="A132" s="8">
        <f t="shared" si="2"/>
        <v>131</v>
      </c>
      <c r="B132" s="24" t="s">
        <v>200</v>
      </c>
      <c r="C132" s="27">
        <v>43692</v>
      </c>
      <c r="D132" s="4">
        <v>20</v>
      </c>
      <c r="E132" s="4" t="s">
        <v>25</v>
      </c>
      <c r="F132" s="4" t="s">
        <v>39</v>
      </c>
      <c r="G132" s="4" t="s">
        <v>21</v>
      </c>
      <c r="H132" s="44" t="s">
        <v>620</v>
      </c>
      <c r="I132" s="5" t="s">
        <v>117</v>
      </c>
      <c r="J132" s="36" t="s">
        <v>199</v>
      </c>
      <c r="K132" s="2"/>
      <c r="L132" s="2"/>
      <c r="M132" s="2"/>
      <c r="N132" s="2"/>
      <c r="O132" s="2"/>
      <c r="P132" s="2"/>
      <c r="Q132" s="2"/>
      <c r="R132" s="3"/>
      <c r="S132" s="2"/>
      <c r="T132" s="2"/>
      <c r="U132" s="2"/>
      <c r="V132" s="2"/>
      <c r="W132" s="2"/>
      <c r="X132" s="2"/>
      <c r="Y132" s="2"/>
      <c r="Z132" s="2"/>
      <c r="AA132" s="2"/>
      <c r="AB132" s="2"/>
      <c r="AC132" s="2"/>
      <c r="AD132" s="2"/>
    </row>
    <row r="133" spans="1:30" ht="22.5" customHeight="1" x14ac:dyDescent="0.25">
      <c r="A133" s="8">
        <f t="shared" si="2"/>
        <v>132</v>
      </c>
      <c r="B133" s="24" t="s">
        <v>558</v>
      </c>
      <c r="C133" s="27">
        <v>41427</v>
      </c>
      <c r="D133" s="4">
        <v>53</v>
      </c>
      <c r="E133" s="4" t="s">
        <v>25</v>
      </c>
      <c r="F133" s="4" t="s">
        <v>559</v>
      </c>
      <c r="G133" s="4" t="s">
        <v>21</v>
      </c>
      <c r="H133" s="44" t="s">
        <v>622</v>
      </c>
      <c r="I133" s="5" t="s">
        <v>117</v>
      </c>
      <c r="J133" s="36" t="s">
        <v>199</v>
      </c>
      <c r="K133"/>
      <c r="L133"/>
      <c r="M133"/>
      <c r="N133"/>
      <c r="O133"/>
      <c r="R133" s="3"/>
      <c r="U133" s="2"/>
      <c r="W133" s="2"/>
    </row>
    <row r="134" spans="1:30" ht="22.5" customHeight="1" x14ac:dyDescent="0.25">
      <c r="A134" s="8">
        <f t="shared" si="2"/>
        <v>133</v>
      </c>
      <c r="B134" s="24" t="s">
        <v>593</v>
      </c>
      <c r="C134" s="30">
        <v>41006</v>
      </c>
      <c r="D134" s="18">
        <v>44</v>
      </c>
      <c r="E134" s="18" t="s">
        <v>25</v>
      </c>
      <c r="F134" s="18" t="s">
        <v>26</v>
      </c>
      <c r="G134" s="18" t="s">
        <v>21</v>
      </c>
      <c r="H134" s="44" t="s">
        <v>621</v>
      </c>
      <c r="I134" s="19" t="s">
        <v>117</v>
      </c>
      <c r="J134" s="37" t="s">
        <v>199</v>
      </c>
      <c r="K134"/>
      <c r="L134"/>
      <c r="M134"/>
      <c r="N134"/>
      <c r="O134"/>
      <c r="R134" s="3"/>
      <c r="U134" s="2"/>
      <c r="W134" s="2"/>
    </row>
    <row r="135" spans="1:30" ht="22.5" customHeight="1" x14ac:dyDescent="0.25">
      <c r="A135" s="8">
        <f t="shared" si="2"/>
        <v>134</v>
      </c>
      <c r="B135" s="24" t="s">
        <v>198</v>
      </c>
      <c r="C135" s="27">
        <v>41056</v>
      </c>
      <c r="D135" s="4">
        <v>47</v>
      </c>
      <c r="E135" s="4" t="s">
        <v>25</v>
      </c>
      <c r="F135" s="4" t="s">
        <v>34</v>
      </c>
      <c r="G135" s="4" t="s">
        <v>21</v>
      </c>
      <c r="H135" s="44" t="s">
        <v>622</v>
      </c>
      <c r="I135" s="5" t="s">
        <v>117</v>
      </c>
      <c r="J135" s="36" t="s">
        <v>199</v>
      </c>
      <c r="K135"/>
      <c r="L135"/>
      <c r="M135"/>
      <c r="N135"/>
      <c r="O135"/>
      <c r="R135" s="3"/>
      <c r="U135" s="2"/>
      <c r="W135" s="2"/>
    </row>
    <row r="136" spans="1:30" ht="22.5" customHeight="1" x14ac:dyDescent="0.25">
      <c r="A136" s="8">
        <f t="shared" si="2"/>
        <v>135</v>
      </c>
      <c r="B136" s="24" t="s">
        <v>364</v>
      </c>
      <c r="C136" s="27">
        <v>40476</v>
      </c>
      <c r="D136" s="4">
        <v>49</v>
      </c>
      <c r="E136" s="4" t="s">
        <v>25</v>
      </c>
      <c r="F136" s="4" t="s">
        <v>37</v>
      </c>
      <c r="G136" s="4" t="s">
        <v>21</v>
      </c>
      <c r="H136" s="44" t="s">
        <v>622</v>
      </c>
      <c r="I136" s="5" t="s">
        <v>117</v>
      </c>
      <c r="J136" s="36" t="s">
        <v>199</v>
      </c>
      <c r="K136"/>
      <c r="L136"/>
      <c r="M136"/>
      <c r="N136"/>
      <c r="O136"/>
      <c r="R136" s="3"/>
      <c r="U136" s="2"/>
      <c r="W136" s="2"/>
    </row>
    <row r="137" spans="1:30" ht="22.5" customHeight="1" x14ac:dyDescent="0.25">
      <c r="A137" s="8">
        <f t="shared" si="2"/>
        <v>136</v>
      </c>
      <c r="B137" s="24" t="s">
        <v>277</v>
      </c>
      <c r="C137" s="27">
        <v>40724</v>
      </c>
      <c r="D137" s="4">
        <v>35</v>
      </c>
      <c r="E137" s="4" t="s">
        <v>19</v>
      </c>
      <c r="F137" s="4" t="s">
        <v>26</v>
      </c>
      <c r="G137" s="4" t="s">
        <v>21</v>
      </c>
      <c r="H137" s="44" t="s">
        <v>620</v>
      </c>
      <c r="I137" s="5" t="s">
        <v>117</v>
      </c>
      <c r="J137" s="36" t="s">
        <v>199</v>
      </c>
      <c r="K137"/>
      <c r="L137"/>
      <c r="M137"/>
      <c r="N137"/>
      <c r="O137"/>
      <c r="R137" s="3"/>
      <c r="U137" s="2"/>
      <c r="W137" s="2"/>
    </row>
    <row r="138" spans="1:30" ht="22.5" customHeight="1" x14ac:dyDescent="0.25">
      <c r="A138" s="8">
        <f t="shared" si="2"/>
        <v>137</v>
      </c>
      <c r="B138" s="24" t="s">
        <v>303</v>
      </c>
      <c r="C138" s="27">
        <v>39928</v>
      </c>
      <c r="D138" s="4">
        <v>40</v>
      </c>
      <c r="E138" s="4" t="s">
        <v>19</v>
      </c>
      <c r="F138" s="4" t="s">
        <v>32</v>
      </c>
      <c r="G138" s="4" t="s">
        <v>21</v>
      </c>
      <c r="H138" s="44" t="s">
        <v>620</v>
      </c>
      <c r="I138" s="5" t="s">
        <v>117</v>
      </c>
      <c r="J138" s="36" t="s">
        <v>199</v>
      </c>
      <c r="K138"/>
      <c r="L138"/>
      <c r="M138"/>
      <c r="N138"/>
      <c r="O138"/>
      <c r="R138" s="3"/>
      <c r="U138" s="2"/>
      <c r="W138" s="2"/>
    </row>
    <row r="139" spans="1:30" ht="22.5" customHeight="1" x14ac:dyDescent="0.25">
      <c r="A139" s="8">
        <f t="shared" si="2"/>
        <v>138</v>
      </c>
      <c r="B139" s="24" t="s">
        <v>281</v>
      </c>
      <c r="C139" s="27">
        <v>39811</v>
      </c>
      <c r="D139" s="4">
        <v>51</v>
      </c>
      <c r="E139" s="4" t="s">
        <v>19</v>
      </c>
      <c r="F139" s="4" t="s">
        <v>37</v>
      </c>
      <c r="G139" s="4" t="s">
        <v>21</v>
      </c>
      <c r="H139" s="44" t="s">
        <v>621</v>
      </c>
      <c r="I139" s="5" t="s">
        <v>117</v>
      </c>
      <c r="J139" s="36" t="s">
        <v>199</v>
      </c>
      <c r="K139"/>
      <c r="L139"/>
      <c r="M139"/>
      <c r="N139"/>
      <c r="O139"/>
      <c r="R139" s="3"/>
      <c r="U139" s="2"/>
      <c r="W139" s="2"/>
    </row>
    <row r="140" spans="1:30" ht="22.5" customHeight="1" x14ac:dyDescent="0.25">
      <c r="A140" s="8">
        <f t="shared" si="2"/>
        <v>139</v>
      </c>
      <c r="B140" s="24" t="s">
        <v>282</v>
      </c>
      <c r="C140" s="27">
        <v>39528</v>
      </c>
      <c r="D140" s="4">
        <v>52</v>
      </c>
      <c r="E140" s="4" t="s">
        <v>19</v>
      </c>
      <c r="F140" s="4" t="s">
        <v>37</v>
      </c>
      <c r="G140" s="4" t="s">
        <v>21</v>
      </c>
      <c r="H140" s="44" t="s">
        <v>621</v>
      </c>
      <c r="I140" s="5" t="s">
        <v>117</v>
      </c>
      <c r="J140" s="36" t="s">
        <v>199</v>
      </c>
      <c r="K140"/>
      <c r="L140"/>
      <c r="M140"/>
      <c r="N140"/>
      <c r="O140"/>
      <c r="R140" s="3"/>
      <c r="U140" s="2"/>
      <c r="W140" s="2"/>
    </row>
    <row r="141" spans="1:30" ht="22.5" customHeight="1" x14ac:dyDescent="0.25">
      <c r="A141" s="8">
        <f t="shared" si="2"/>
        <v>140</v>
      </c>
      <c r="B141" s="24" t="s">
        <v>304</v>
      </c>
      <c r="C141" s="27">
        <v>39423</v>
      </c>
      <c r="D141" s="4">
        <v>38</v>
      </c>
      <c r="E141" s="4" t="s">
        <v>19</v>
      </c>
      <c r="F141" s="4" t="s">
        <v>42</v>
      </c>
      <c r="G141" s="4" t="s">
        <v>21</v>
      </c>
      <c r="H141" s="44" t="s">
        <v>620</v>
      </c>
      <c r="I141" s="5" t="s">
        <v>117</v>
      </c>
      <c r="J141" s="36" t="s">
        <v>199</v>
      </c>
      <c r="K141"/>
      <c r="L141"/>
      <c r="M141"/>
      <c r="N141"/>
      <c r="O141"/>
      <c r="R141" s="3"/>
      <c r="U141" s="2"/>
      <c r="W141" s="2"/>
    </row>
    <row r="142" spans="1:30" ht="22.5" customHeight="1" x14ac:dyDescent="0.25">
      <c r="A142" s="8">
        <f t="shared" si="2"/>
        <v>141</v>
      </c>
      <c r="B142" s="24" t="s">
        <v>276</v>
      </c>
      <c r="C142" s="27">
        <v>36940</v>
      </c>
      <c r="D142" s="4">
        <v>42</v>
      </c>
      <c r="E142" s="4" t="s">
        <v>19</v>
      </c>
      <c r="F142" s="4" t="s">
        <v>86</v>
      </c>
      <c r="G142" s="4" t="s">
        <v>21</v>
      </c>
      <c r="H142" s="44" t="s">
        <v>622</v>
      </c>
      <c r="I142" s="5" t="s">
        <v>117</v>
      </c>
      <c r="J142" s="36" t="s">
        <v>199</v>
      </c>
      <c r="K142"/>
      <c r="L142"/>
      <c r="M142"/>
      <c r="N142"/>
      <c r="O142"/>
      <c r="R142" s="3"/>
      <c r="U142" s="2"/>
      <c r="W142" s="2"/>
    </row>
    <row r="143" spans="1:30" ht="22.5" customHeight="1" x14ac:dyDescent="0.25">
      <c r="A143" s="8">
        <f t="shared" si="2"/>
        <v>142</v>
      </c>
      <c r="B143" s="24" t="s">
        <v>390</v>
      </c>
      <c r="C143" s="27">
        <v>37016</v>
      </c>
      <c r="D143" s="4">
        <v>50</v>
      </c>
      <c r="E143" s="4" t="s">
        <v>19</v>
      </c>
      <c r="F143" s="4" t="s">
        <v>37</v>
      </c>
      <c r="G143" s="4" t="s">
        <v>21</v>
      </c>
      <c r="H143" s="44" t="s">
        <v>621</v>
      </c>
      <c r="I143" s="5" t="s">
        <v>117</v>
      </c>
      <c r="J143" s="36" t="s">
        <v>199</v>
      </c>
      <c r="K143"/>
      <c r="L143"/>
      <c r="M143"/>
      <c r="N143"/>
      <c r="O143"/>
      <c r="R143" s="3"/>
      <c r="U143" s="2"/>
      <c r="W143" s="2"/>
    </row>
    <row r="144" spans="1:30" ht="22.5" customHeight="1" x14ac:dyDescent="0.25">
      <c r="A144" s="8">
        <f t="shared" si="2"/>
        <v>143</v>
      </c>
      <c r="B144" s="24" t="s">
        <v>523</v>
      </c>
      <c r="C144" s="27">
        <v>43892</v>
      </c>
      <c r="D144" s="4">
        <v>23</v>
      </c>
      <c r="E144" s="4" t="s">
        <v>25</v>
      </c>
      <c r="F144" s="4" t="s">
        <v>50</v>
      </c>
      <c r="G144" s="4" t="s">
        <v>21</v>
      </c>
      <c r="H144" s="44" t="s">
        <v>622</v>
      </c>
      <c r="I144" s="5" t="s">
        <v>154</v>
      </c>
      <c r="J144" s="36" t="s">
        <v>155</v>
      </c>
      <c r="K144"/>
      <c r="L144"/>
      <c r="M144"/>
      <c r="N144"/>
      <c r="O144"/>
      <c r="R144" s="3"/>
      <c r="U144" s="2"/>
      <c r="W144" s="2"/>
    </row>
    <row r="145" spans="1:23" ht="22.5" customHeight="1" x14ac:dyDescent="0.25">
      <c r="A145" s="8">
        <f t="shared" si="2"/>
        <v>144</v>
      </c>
      <c r="B145" s="24" t="s">
        <v>203</v>
      </c>
      <c r="C145" s="27">
        <v>44046</v>
      </c>
      <c r="D145" s="4">
        <v>24</v>
      </c>
      <c r="E145" s="4" t="s">
        <v>25</v>
      </c>
      <c r="F145" s="4" t="s">
        <v>39</v>
      </c>
      <c r="G145" s="4" t="s">
        <v>21</v>
      </c>
      <c r="H145" s="44" t="s">
        <v>622</v>
      </c>
      <c r="I145" s="5" t="s">
        <v>154</v>
      </c>
      <c r="J145" s="36" t="s">
        <v>155</v>
      </c>
      <c r="K145"/>
      <c r="L145"/>
      <c r="M145"/>
      <c r="N145"/>
      <c r="O145"/>
      <c r="R145" s="3"/>
      <c r="U145" s="2"/>
      <c r="W145" s="2"/>
    </row>
    <row r="146" spans="1:23" ht="22.5" customHeight="1" x14ac:dyDescent="0.25">
      <c r="A146" s="8">
        <f t="shared" si="2"/>
        <v>145</v>
      </c>
      <c r="B146" s="24" t="s">
        <v>519</v>
      </c>
      <c r="C146" s="27">
        <v>43895</v>
      </c>
      <c r="D146" s="4">
        <v>17</v>
      </c>
      <c r="E146" s="4" t="s">
        <v>19</v>
      </c>
      <c r="F146" s="4" t="s">
        <v>28</v>
      </c>
      <c r="G146" s="4" t="s">
        <v>21</v>
      </c>
      <c r="H146" s="44" t="s">
        <v>620</v>
      </c>
      <c r="I146" s="5" t="s">
        <v>154</v>
      </c>
      <c r="J146" s="36" t="s">
        <v>155</v>
      </c>
      <c r="K146"/>
      <c r="L146"/>
      <c r="M146"/>
      <c r="N146"/>
      <c r="O146"/>
      <c r="R146" s="3"/>
      <c r="U146" s="2"/>
      <c r="W146" s="2"/>
    </row>
    <row r="147" spans="1:23" ht="22.5" customHeight="1" x14ac:dyDescent="0.25">
      <c r="A147" s="8">
        <f t="shared" si="2"/>
        <v>146</v>
      </c>
      <c r="B147" s="24" t="s">
        <v>359</v>
      </c>
      <c r="C147" s="27">
        <v>44252</v>
      </c>
      <c r="D147" s="4">
        <v>21</v>
      </c>
      <c r="E147" s="4" t="s">
        <v>19</v>
      </c>
      <c r="F147" s="4" t="s">
        <v>50</v>
      </c>
      <c r="G147" s="4" t="s">
        <v>21</v>
      </c>
      <c r="H147" s="44" t="s">
        <v>620</v>
      </c>
      <c r="I147" s="5" t="s">
        <v>154</v>
      </c>
      <c r="J147" s="36" t="s">
        <v>155</v>
      </c>
      <c r="K147"/>
      <c r="L147"/>
      <c r="M147"/>
      <c r="N147"/>
      <c r="O147"/>
      <c r="R147" s="3"/>
      <c r="U147" s="2"/>
      <c r="W147" s="2"/>
    </row>
    <row r="148" spans="1:23" ht="22.5" customHeight="1" x14ac:dyDescent="0.25">
      <c r="A148" s="8">
        <f t="shared" si="2"/>
        <v>147</v>
      </c>
      <c r="B148" s="24" t="s">
        <v>360</v>
      </c>
      <c r="C148" s="27">
        <v>43834</v>
      </c>
      <c r="D148" s="4">
        <v>20</v>
      </c>
      <c r="E148" s="4" t="s">
        <v>19</v>
      </c>
      <c r="F148" s="4" t="s">
        <v>50</v>
      </c>
      <c r="G148" s="4" t="s">
        <v>21</v>
      </c>
      <c r="H148" s="44" t="s">
        <v>621</v>
      </c>
      <c r="I148" s="5" t="s">
        <v>154</v>
      </c>
      <c r="J148" s="36" t="s">
        <v>155</v>
      </c>
      <c r="K148"/>
      <c r="L148"/>
      <c r="M148"/>
      <c r="N148"/>
      <c r="O148"/>
      <c r="R148" s="3"/>
      <c r="U148" s="2"/>
      <c r="W148" s="2"/>
    </row>
    <row r="149" spans="1:23" ht="22.5" customHeight="1" x14ac:dyDescent="0.25">
      <c r="A149" s="8">
        <f t="shared" si="2"/>
        <v>148</v>
      </c>
      <c r="B149" s="24" t="s">
        <v>513</v>
      </c>
      <c r="C149" s="27">
        <v>43885</v>
      </c>
      <c r="D149" s="4">
        <v>25</v>
      </c>
      <c r="E149" s="4" t="s">
        <v>19</v>
      </c>
      <c r="F149" s="4" t="s">
        <v>42</v>
      </c>
      <c r="G149" s="4" t="s">
        <v>21</v>
      </c>
      <c r="H149" s="44" t="s">
        <v>621</v>
      </c>
      <c r="I149" s="5" t="s">
        <v>154</v>
      </c>
      <c r="J149" s="36" t="s">
        <v>155</v>
      </c>
      <c r="K149"/>
      <c r="L149"/>
      <c r="M149"/>
      <c r="N149"/>
      <c r="O149"/>
      <c r="R149" s="3"/>
      <c r="U149" s="2"/>
      <c r="W149" s="2"/>
    </row>
    <row r="150" spans="1:23" ht="22.5" customHeight="1" x14ac:dyDescent="0.25">
      <c r="A150" s="8">
        <f t="shared" si="2"/>
        <v>149</v>
      </c>
      <c r="B150" s="24" t="s">
        <v>460</v>
      </c>
      <c r="C150" s="27">
        <v>43478</v>
      </c>
      <c r="D150" s="4">
        <v>19</v>
      </c>
      <c r="E150" s="4" t="s">
        <v>25</v>
      </c>
      <c r="F150" s="4" t="s">
        <v>50</v>
      </c>
      <c r="G150" s="4" t="s">
        <v>21</v>
      </c>
      <c r="H150" s="44" t="s">
        <v>620</v>
      </c>
      <c r="I150" s="5" t="s">
        <v>154</v>
      </c>
      <c r="J150" s="36" t="s">
        <v>155</v>
      </c>
      <c r="K150"/>
      <c r="L150"/>
      <c r="M150"/>
      <c r="N150"/>
      <c r="O150"/>
      <c r="R150" s="3"/>
      <c r="U150" s="2"/>
      <c r="W150" s="2"/>
    </row>
    <row r="151" spans="1:23" ht="22.5" customHeight="1" x14ac:dyDescent="0.25">
      <c r="A151" s="8">
        <f t="shared" si="2"/>
        <v>150</v>
      </c>
      <c r="B151" s="24" t="s">
        <v>601</v>
      </c>
      <c r="C151" s="27">
        <v>43792</v>
      </c>
      <c r="D151" s="4">
        <v>20</v>
      </c>
      <c r="E151" s="4" t="s">
        <v>25</v>
      </c>
      <c r="F151" s="4" t="s">
        <v>28</v>
      </c>
      <c r="G151" s="4" t="s">
        <v>21</v>
      </c>
      <c r="H151" s="44" t="s">
        <v>622</v>
      </c>
      <c r="I151" s="5" t="s">
        <v>154</v>
      </c>
      <c r="J151" s="36" t="s">
        <v>155</v>
      </c>
      <c r="K151"/>
      <c r="L151"/>
      <c r="M151"/>
      <c r="N151"/>
      <c r="O151"/>
      <c r="R151" s="3"/>
      <c r="U151" s="2"/>
      <c r="W151" s="2"/>
    </row>
    <row r="152" spans="1:23" ht="22.5" customHeight="1" x14ac:dyDescent="0.25">
      <c r="A152" s="8">
        <f t="shared" si="2"/>
        <v>151</v>
      </c>
      <c r="B152" s="24" t="s">
        <v>455</v>
      </c>
      <c r="C152" s="27">
        <v>43597</v>
      </c>
      <c r="D152" s="4">
        <v>19</v>
      </c>
      <c r="E152" s="4" t="s">
        <v>19</v>
      </c>
      <c r="F152" s="4" t="s">
        <v>50</v>
      </c>
      <c r="G152" s="4" t="s">
        <v>21</v>
      </c>
      <c r="H152" s="44" t="s">
        <v>621</v>
      </c>
      <c r="I152" s="5" t="s">
        <v>154</v>
      </c>
      <c r="J152" s="36" t="s">
        <v>155</v>
      </c>
      <c r="K152"/>
      <c r="L152"/>
      <c r="M152"/>
      <c r="N152"/>
      <c r="O152"/>
      <c r="R152" s="3"/>
      <c r="U152" s="2"/>
      <c r="W152" s="2"/>
    </row>
    <row r="153" spans="1:23" ht="22.5" customHeight="1" x14ac:dyDescent="0.25">
      <c r="A153" s="8">
        <f t="shared" si="2"/>
        <v>152</v>
      </c>
      <c r="B153" s="24" t="s">
        <v>193</v>
      </c>
      <c r="C153" s="27">
        <v>43714</v>
      </c>
      <c r="D153" s="4">
        <v>20</v>
      </c>
      <c r="E153" s="4" t="s">
        <v>19</v>
      </c>
      <c r="F153" s="4" t="s">
        <v>28</v>
      </c>
      <c r="G153" s="4" t="s">
        <v>21</v>
      </c>
      <c r="H153" s="44" t="s">
        <v>622</v>
      </c>
      <c r="I153" s="5" t="s">
        <v>154</v>
      </c>
      <c r="J153" s="36" t="s">
        <v>155</v>
      </c>
      <c r="K153"/>
      <c r="L153"/>
      <c r="M153"/>
      <c r="N153"/>
      <c r="O153"/>
      <c r="R153" s="3"/>
      <c r="U153" s="2"/>
      <c r="W153" s="2"/>
    </row>
    <row r="154" spans="1:23" ht="22.5" customHeight="1" x14ac:dyDescent="0.25">
      <c r="A154" s="8">
        <f t="shared" si="2"/>
        <v>153</v>
      </c>
      <c r="B154" s="24" t="s">
        <v>328</v>
      </c>
      <c r="C154" s="27">
        <v>43106</v>
      </c>
      <c r="D154" s="4">
        <v>20</v>
      </c>
      <c r="E154" s="4" t="s">
        <v>25</v>
      </c>
      <c r="F154" s="4" t="s">
        <v>20</v>
      </c>
      <c r="G154" s="4" t="s">
        <v>21</v>
      </c>
      <c r="H154" s="44" t="s">
        <v>622</v>
      </c>
      <c r="I154" s="5" t="s">
        <v>154</v>
      </c>
      <c r="J154" s="36" t="s">
        <v>155</v>
      </c>
      <c r="K154"/>
      <c r="L154"/>
      <c r="M154"/>
      <c r="N154"/>
      <c r="O154"/>
      <c r="R154" s="3"/>
      <c r="U154" s="2"/>
      <c r="W154" s="2"/>
    </row>
    <row r="155" spans="1:23" ht="22.5" customHeight="1" x14ac:dyDescent="0.25">
      <c r="A155" s="8">
        <f t="shared" si="2"/>
        <v>154</v>
      </c>
      <c r="B155" s="24" t="s">
        <v>362</v>
      </c>
      <c r="C155" s="27">
        <v>43444</v>
      </c>
      <c r="D155" s="4">
        <v>16</v>
      </c>
      <c r="E155" s="4" t="s">
        <v>19</v>
      </c>
      <c r="F155" s="4" t="s">
        <v>42</v>
      </c>
      <c r="G155" s="4" t="s">
        <v>21</v>
      </c>
      <c r="H155" s="44" t="s">
        <v>620</v>
      </c>
      <c r="I155" s="5" t="s">
        <v>154</v>
      </c>
      <c r="J155" s="36" t="s">
        <v>155</v>
      </c>
      <c r="K155"/>
      <c r="L155"/>
      <c r="M155"/>
      <c r="N155"/>
      <c r="O155"/>
      <c r="R155" s="3"/>
      <c r="U155" s="2"/>
      <c r="W155" s="2"/>
    </row>
    <row r="156" spans="1:23" ht="22.5" customHeight="1" x14ac:dyDescent="0.25">
      <c r="A156" s="8">
        <f t="shared" si="2"/>
        <v>155</v>
      </c>
      <c r="B156" s="24" t="s">
        <v>378</v>
      </c>
      <c r="C156" s="27">
        <v>43043</v>
      </c>
      <c r="D156" s="4">
        <v>20</v>
      </c>
      <c r="E156" s="4" t="s">
        <v>25</v>
      </c>
      <c r="F156" s="4" t="s">
        <v>39</v>
      </c>
      <c r="G156" s="4" t="s">
        <v>21</v>
      </c>
      <c r="H156" s="44" t="s">
        <v>620</v>
      </c>
      <c r="I156" s="5" t="s">
        <v>154</v>
      </c>
      <c r="J156" s="36" t="s">
        <v>155</v>
      </c>
      <c r="K156"/>
      <c r="L156"/>
      <c r="M156"/>
      <c r="N156"/>
      <c r="O156"/>
      <c r="R156" s="3"/>
      <c r="U156" s="2"/>
      <c r="W156" s="2"/>
    </row>
    <row r="157" spans="1:23" ht="22.5" customHeight="1" x14ac:dyDescent="0.25">
      <c r="A157" s="8">
        <f t="shared" si="2"/>
        <v>156</v>
      </c>
      <c r="B157" s="24" t="s">
        <v>517</v>
      </c>
      <c r="C157" s="27">
        <v>42894</v>
      </c>
      <c r="D157" s="4">
        <v>21.7</v>
      </c>
      <c r="E157" s="4" t="s">
        <v>25</v>
      </c>
      <c r="F157" s="4" t="s">
        <v>28</v>
      </c>
      <c r="G157" s="4" t="s">
        <v>21</v>
      </c>
      <c r="H157" s="44" t="s">
        <v>621</v>
      </c>
      <c r="I157" s="5" t="s">
        <v>154</v>
      </c>
      <c r="J157" s="36" t="s">
        <v>155</v>
      </c>
      <c r="K157"/>
      <c r="L157"/>
      <c r="M157"/>
      <c r="N157"/>
      <c r="O157"/>
      <c r="R157" s="3"/>
      <c r="U157" s="2"/>
      <c r="W157" s="2"/>
    </row>
    <row r="158" spans="1:23" ht="22.5" customHeight="1" x14ac:dyDescent="0.25">
      <c r="A158" s="8">
        <f t="shared" si="2"/>
        <v>157</v>
      </c>
      <c r="B158" s="24" t="s">
        <v>177</v>
      </c>
      <c r="C158" s="27">
        <v>43039</v>
      </c>
      <c r="D158" s="4">
        <v>25</v>
      </c>
      <c r="E158" s="4" t="s">
        <v>25</v>
      </c>
      <c r="F158" s="4" t="s">
        <v>39</v>
      </c>
      <c r="G158" s="4" t="s">
        <v>21</v>
      </c>
      <c r="H158" s="44" t="s">
        <v>621</v>
      </c>
      <c r="I158" s="5" t="s">
        <v>154</v>
      </c>
      <c r="J158" s="36" t="s">
        <v>155</v>
      </c>
      <c r="K158"/>
      <c r="L158"/>
      <c r="M158"/>
      <c r="N158"/>
      <c r="O158"/>
      <c r="R158" s="3"/>
      <c r="U158" s="2"/>
      <c r="W158" s="2"/>
    </row>
    <row r="159" spans="1:23" ht="22.5" customHeight="1" x14ac:dyDescent="0.25">
      <c r="A159" s="8">
        <f t="shared" si="2"/>
        <v>158</v>
      </c>
      <c r="B159" s="24" t="s">
        <v>567</v>
      </c>
      <c r="C159" s="29">
        <v>42995</v>
      </c>
      <c r="D159" s="16">
        <v>27</v>
      </c>
      <c r="E159" s="16" t="s">
        <v>25</v>
      </c>
      <c r="F159" s="16" t="s">
        <v>39</v>
      </c>
      <c r="G159" s="16" t="s">
        <v>21</v>
      </c>
      <c r="H159" s="44" t="s">
        <v>620</v>
      </c>
      <c r="I159" s="17" t="s">
        <v>154</v>
      </c>
      <c r="J159" s="39" t="s">
        <v>155</v>
      </c>
      <c r="K159"/>
      <c r="L159"/>
      <c r="M159"/>
      <c r="N159"/>
      <c r="O159"/>
      <c r="R159" s="3"/>
      <c r="U159" s="2"/>
      <c r="W159" s="2"/>
    </row>
    <row r="160" spans="1:23" ht="22.5" customHeight="1" x14ac:dyDescent="0.25">
      <c r="A160" s="8">
        <f t="shared" si="2"/>
        <v>159</v>
      </c>
      <c r="B160" s="24" t="s">
        <v>275</v>
      </c>
      <c r="C160" s="27">
        <v>43036</v>
      </c>
      <c r="D160" s="4">
        <v>30</v>
      </c>
      <c r="E160" s="4" t="s">
        <v>25</v>
      </c>
      <c r="F160" s="4" t="s">
        <v>39</v>
      </c>
      <c r="G160" s="4" t="s">
        <v>21</v>
      </c>
      <c r="H160" s="44" t="s">
        <v>622</v>
      </c>
      <c r="I160" s="5" t="s">
        <v>154</v>
      </c>
      <c r="J160" s="36" t="s">
        <v>155</v>
      </c>
      <c r="K160"/>
      <c r="L160"/>
      <c r="M160"/>
      <c r="N160"/>
      <c r="O160"/>
      <c r="R160" s="3"/>
      <c r="U160" s="2"/>
      <c r="W160" s="2"/>
    </row>
    <row r="161" spans="1:30" ht="22.5" customHeight="1" x14ac:dyDescent="0.25">
      <c r="A161" s="8">
        <f t="shared" si="2"/>
        <v>160</v>
      </c>
      <c r="B161" s="24" t="s">
        <v>192</v>
      </c>
      <c r="C161" s="27">
        <v>42928</v>
      </c>
      <c r="D161" s="4">
        <v>30</v>
      </c>
      <c r="E161" s="4" t="s">
        <v>25</v>
      </c>
      <c r="F161" s="4" t="s">
        <v>39</v>
      </c>
      <c r="G161" s="4" t="s">
        <v>21</v>
      </c>
      <c r="H161" s="44" t="s">
        <v>621</v>
      </c>
      <c r="I161" s="5" t="s">
        <v>154</v>
      </c>
      <c r="J161" s="36" t="s">
        <v>155</v>
      </c>
      <c r="K161"/>
      <c r="L161"/>
      <c r="M161"/>
      <c r="N161"/>
      <c r="O161"/>
      <c r="R161" s="3"/>
      <c r="U161" s="2"/>
      <c r="W161" s="2"/>
    </row>
    <row r="162" spans="1:30" ht="22.5" customHeight="1" x14ac:dyDescent="0.25">
      <c r="A162" s="8">
        <f t="shared" si="2"/>
        <v>161</v>
      </c>
      <c r="B162" s="24" t="s">
        <v>168</v>
      </c>
      <c r="C162" s="27">
        <v>42850</v>
      </c>
      <c r="D162" s="4">
        <v>35</v>
      </c>
      <c r="E162" s="4" t="s">
        <v>25</v>
      </c>
      <c r="F162" s="4" t="s">
        <v>32</v>
      </c>
      <c r="G162" s="4" t="s">
        <v>21</v>
      </c>
      <c r="H162" s="44" t="s">
        <v>622</v>
      </c>
      <c r="I162" s="5" t="s">
        <v>154</v>
      </c>
      <c r="J162" s="36" t="s">
        <v>155</v>
      </c>
      <c r="K162"/>
      <c r="L162"/>
      <c r="M162"/>
      <c r="N162"/>
      <c r="O162"/>
      <c r="R162" s="3"/>
      <c r="U162" s="2"/>
      <c r="W162" s="2"/>
    </row>
    <row r="163" spans="1:30" ht="22.5" customHeight="1" x14ac:dyDescent="0.25">
      <c r="A163" s="8">
        <f t="shared" si="2"/>
        <v>162</v>
      </c>
      <c r="B163" s="24" t="s">
        <v>417</v>
      </c>
      <c r="C163" s="27">
        <v>42862</v>
      </c>
      <c r="D163" s="4">
        <v>35</v>
      </c>
      <c r="E163" s="4" t="s">
        <v>25</v>
      </c>
      <c r="F163" s="4" t="s">
        <v>86</v>
      </c>
      <c r="G163" s="4" t="s">
        <v>21</v>
      </c>
      <c r="H163" s="44" t="s">
        <v>622</v>
      </c>
      <c r="I163" s="5" t="s">
        <v>154</v>
      </c>
      <c r="J163" s="36" t="s">
        <v>155</v>
      </c>
      <c r="K163"/>
      <c r="L163"/>
      <c r="M163"/>
      <c r="N163"/>
      <c r="O163"/>
      <c r="R163" s="3"/>
      <c r="U163" s="2"/>
      <c r="W163" s="2"/>
    </row>
    <row r="164" spans="1:30" ht="22.5" customHeight="1" x14ac:dyDescent="0.25">
      <c r="A164" s="8">
        <f t="shared" si="2"/>
        <v>163</v>
      </c>
      <c r="B164" s="24" t="s">
        <v>521</v>
      </c>
      <c r="C164" s="27">
        <v>42926</v>
      </c>
      <c r="D164" s="4">
        <v>20</v>
      </c>
      <c r="E164" s="4" t="s">
        <v>19</v>
      </c>
      <c r="F164" s="4" t="s">
        <v>28</v>
      </c>
      <c r="G164" s="4" t="s">
        <v>21</v>
      </c>
      <c r="H164" s="44" t="s">
        <v>620</v>
      </c>
      <c r="I164" s="5" t="s">
        <v>154</v>
      </c>
      <c r="J164" s="36" t="s">
        <v>155</v>
      </c>
      <c r="K164"/>
      <c r="L164"/>
      <c r="M164"/>
      <c r="N164"/>
      <c r="O164"/>
      <c r="R164" s="3"/>
      <c r="U164" s="2"/>
      <c r="W164" s="2"/>
    </row>
    <row r="165" spans="1:30" ht="22.5" customHeight="1" x14ac:dyDescent="0.25">
      <c r="A165" s="8">
        <f t="shared" si="2"/>
        <v>164</v>
      </c>
      <c r="B165" s="24" t="s">
        <v>413</v>
      </c>
      <c r="C165" s="27">
        <v>42569</v>
      </c>
      <c r="D165" s="4">
        <v>24</v>
      </c>
      <c r="E165" s="4" t="s">
        <v>25</v>
      </c>
      <c r="F165" s="4" t="s">
        <v>39</v>
      </c>
      <c r="G165" s="4" t="s">
        <v>21</v>
      </c>
      <c r="H165" s="44" t="s">
        <v>620</v>
      </c>
      <c r="I165" s="5" t="s">
        <v>154</v>
      </c>
      <c r="J165" s="36" t="s">
        <v>155</v>
      </c>
      <c r="K165"/>
      <c r="L165"/>
      <c r="M165"/>
      <c r="N165"/>
      <c r="O165"/>
      <c r="R165" s="3"/>
      <c r="U165" s="2"/>
      <c r="W165" s="2"/>
    </row>
    <row r="166" spans="1:30" ht="22.5" customHeight="1" x14ac:dyDescent="0.25">
      <c r="A166" s="8">
        <f t="shared" si="2"/>
        <v>165</v>
      </c>
      <c r="B166" s="24" t="s">
        <v>456</v>
      </c>
      <c r="C166" s="27">
        <v>42680</v>
      </c>
      <c r="D166" s="4">
        <v>30</v>
      </c>
      <c r="E166" s="4" t="s">
        <v>25</v>
      </c>
      <c r="F166" s="4" t="s">
        <v>61</v>
      </c>
      <c r="G166" s="4" t="s">
        <v>21</v>
      </c>
      <c r="H166" s="44" t="s">
        <v>621</v>
      </c>
      <c r="I166" s="5" t="s">
        <v>154</v>
      </c>
      <c r="J166" s="36" t="s">
        <v>155</v>
      </c>
      <c r="K166"/>
      <c r="L166"/>
      <c r="M166"/>
      <c r="N166"/>
      <c r="O166"/>
      <c r="R166" s="3"/>
      <c r="U166" s="2"/>
      <c r="W166" s="2"/>
    </row>
    <row r="167" spans="1:30" ht="22.5" customHeight="1" x14ac:dyDescent="0.25">
      <c r="A167" s="8">
        <f t="shared" si="2"/>
        <v>166</v>
      </c>
      <c r="B167" s="24" t="s">
        <v>427</v>
      </c>
      <c r="C167" s="27">
        <v>42722</v>
      </c>
      <c r="D167" s="4">
        <v>23</v>
      </c>
      <c r="E167" s="4" t="s">
        <v>19</v>
      </c>
      <c r="F167" s="4" t="s">
        <v>42</v>
      </c>
      <c r="G167" s="4" t="s">
        <v>21</v>
      </c>
      <c r="H167" s="44" t="s">
        <v>621</v>
      </c>
      <c r="I167" s="5" t="s">
        <v>154</v>
      </c>
      <c r="J167" s="36" t="s">
        <v>155</v>
      </c>
      <c r="K167"/>
      <c r="L167"/>
      <c r="M167"/>
      <c r="N167"/>
      <c r="O167"/>
      <c r="R167" s="3"/>
      <c r="U167" s="2"/>
      <c r="W167" s="2"/>
    </row>
    <row r="168" spans="1:30" ht="22.5" customHeight="1" x14ac:dyDescent="0.25">
      <c r="A168" s="8">
        <f t="shared" si="2"/>
        <v>167</v>
      </c>
      <c r="B168" s="24" t="s">
        <v>490</v>
      </c>
      <c r="C168" s="27">
        <v>42429</v>
      </c>
      <c r="D168" s="4">
        <v>23</v>
      </c>
      <c r="E168" s="4" t="s">
        <v>19</v>
      </c>
      <c r="F168" s="4" t="s">
        <v>42</v>
      </c>
      <c r="G168" s="4" t="s">
        <v>21</v>
      </c>
      <c r="H168" s="44" t="s">
        <v>620</v>
      </c>
      <c r="I168" s="5" t="s">
        <v>154</v>
      </c>
      <c r="J168" s="36" t="s">
        <v>155</v>
      </c>
      <c r="K168"/>
      <c r="L168"/>
      <c r="M168"/>
      <c r="N168"/>
      <c r="O168"/>
      <c r="R168" s="3"/>
      <c r="U168" s="2"/>
      <c r="W168" s="2"/>
    </row>
    <row r="169" spans="1:30" ht="22.5" customHeight="1" x14ac:dyDescent="0.25">
      <c r="A169" s="8">
        <f t="shared" si="2"/>
        <v>168</v>
      </c>
      <c r="B169" s="24" t="s">
        <v>332</v>
      </c>
      <c r="C169" s="27">
        <v>42655</v>
      </c>
      <c r="D169" s="4">
        <v>24</v>
      </c>
      <c r="E169" s="4" t="s">
        <v>19</v>
      </c>
      <c r="F169" s="4" t="s">
        <v>61</v>
      </c>
      <c r="G169" s="4" t="s">
        <v>21</v>
      </c>
      <c r="H169" s="44" t="s">
        <v>622</v>
      </c>
      <c r="I169" s="5" t="s">
        <v>154</v>
      </c>
      <c r="J169" s="36" t="s">
        <v>155</v>
      </c>
      <c r="K169"/>
      <c r="L169"/>
      <c r="M169"/>
      <c r="N169"/>
      <c r="O169"/>
      <c r="R169" s="3"/>
      <c r="U169" s="2"/>
      <c r="W169" s="2"/>
    </row>
    <row r="170" spans="1:30" ht="22.5" customHeight="1" x14ac:dyDescent="0.25">
      <c r="A170" s="8">
        <f t="shared" si="2"/>
        <v>169</v>
      </c>
      <c r="B170" s="24" t="s">
        <v>326</v>
      </c>
      <c r="C170" s="27">
        <v>42703</v>
      </c>
      <c r="D170" s="4">
        <v>30</v>
      </c>
      <c r="E170" s="4" t="s">
        <v>19</v>
      </c>
      <c r="F170" s="4" t="s">
        <v>28</v>
      </c>
      <c r="G170" s="4" t="s">
        <v>21</v>
      </c>
      <c r="H170" s="44" t="s">
        <v>621</v>
      </c>
      <c r="I170" s="5" t="s">
        <v>154</v>
      </c>
      <c r="J170" s="36" t="s">
        <v>155</v>
      </c>
      <c r="K170"/>
      <c r="L170"/>
      <c r="M170"/>
      <c r="N170"/>
      <c r="O170"/>
      <c r="R170" s="3"/>
      <c r="U170" s="2"/>
      <c r="W170" s="2"/>
    </row>
    <row r="171" spans="1:30" ht="22.5" customHeight="1" x14ac:dyDescent="0.25">
      <c r="A171" s="8">
        <f t="shared" si="2"/>
        <v>170</v>
      </c>
      <c r="B171" s="24" t="s">
        <v>411</v>
      </c>
      <c r="C171" s="27">
        <v>42615</v>
      </c>
      <c r="D171" s="4">
        <v>39</v>
      </c>
      <c r="E171" s="4" t="s">
        <v>19</v>
      </c>
      <c r="F171" s="4" t="s">
        <v>20</v>
      </c>
      <c r="G171" s="4" t="s">
        <v>21</v>
      </c>
      <c r="H171" s="44" t="s">
        <v>622</v>
      </c>
      <c r="I171" s="5" t="s">
        <v>154</v>
      </c>
      <c r="J171" s="36" t="s">
        <v>155</v>
      </c>
      <c r="K171"/>
      <c r="L171"/>
      <c r="M171"/>
      <c r="N171"/>
      <c r="O171"/>
      <c r="R171" s="3"/>
      <c r="U171" s="2"/>
      <c r="W171" s="2"/>
    </row>
    <row r="172" spans="1:30" ht="22.5" customHeight="1" x14ac:dyDescent="0.25">
      <c r="A172" s="8">
        <f t="shared" si="2"/>
        <v>171</v>
      </c>
      <c r="B172" s="24" t="s">
        <v>153</v>
      </c>
      <c r="C172" s="27">
        <v>42239</v>
      </c>
      <c r="D172" s="4">
        <v>24</v>
      </c>
      <c r="E172" s="4" t="s">
        <v>25</v>
      </c>
      <c r="F172" s="4" t="s">
        <v>39</v>
      </c>
      <c r="G172" s="4" t="s">
        <v>21</v>
      </c>
      <c r="H172" s="44" t="s">
        <v>622</v>
      </c>
      <c r="I172" s="5" t="s">
        <v>154</v>
      </c>
      <c r="J172" s="36" t="s">
        <v>155</v>
      </c>
      <c r="K172"/>
      <c r="L172"/>
      <c r="M172"/>
      <c r="N172"/>
      <c r="O172"/>
      <c r="R172" s="3"/>
      <c r="U172" s="2"/>
      <c r="W172" s="2"/>
    </row>
    <row r="173" spans="1:30" ht="22.5" customHeight="1" x14ac:dyDescent="0.25">
      <c r="A173" s="8">
        <f t="shared" si="2"/>
        <v>172</v>
      </c>
      <c r="B173" s="24" t="s">
        <v>407</v>
      </c>
      <c r="C173" s="27">
        <v>42262</v>
      </c>
      <c r="D173" s="4">
        <v>30</v>
      </c>
      <c r="E173" s="4" t="s">
        <v>25</v>
      </c>
      <c r="F173" s="4" t="s">
        <v>28</v>
      </c>
      <c r="G173" s="4" t="s">
        <v>21</v>
      </c>
      <c r="H173" s="44" t="s">
        <v>620</v>
      </c>
      <c r="I173" s="5" t="s">
        <v>154</v>
      </c>
      <c r="J173" s="36" t="s">
        <v>155</v>
      </c>
      <c r="K173" s="2"/>
      <c r="L173" s="2"/>
      <c r="M173" s="2"/>
      <c r="N173" s="2"/>
      <c r="O173" s="2"/>
      <c r="P173" s="2"/>
      <c r="Q173" s="2"/>
      <c r="R173" s="3"/>
      <c r="S173" s="2"/>
      <c r="T173" s="2"/>
      <c r="U173" s="2"/>
      <c r="V173" s="2"/>
      <c r="W173" s="2"/>
      <c r="X173" s="2"/>
      <c r="Y173" s="2"/>
      <c r="Z173" s="2"/>
      <c r="AA173" s="2"/>
      <c r="AB173" s="2"/>
      <c r="AC173" s="2"/>
      <c r="AD173" s="2"/>
    </row>
    <row r="174" spans="1:30" ht="22.5" customHeight="1" x14ac:dyDescent="0.25">
      <c r="A174" s="8">
        <f t="shared" si="2"/>
        <v>173</v>
      </c>
      <c r="B174" s="24" t="s">
        <v>596</v>
      </c>
      <c r="C174" s="27">
        <v>42308</v>
      </c>
      <c r="D174" s="4">
        <v>30.7</v>
      </c>
      <c r="E174" s="4" t="s">
        <v>25</v>
      </c>
      <c r="F174" s="4" t="s">
        <v>28</v>
      </c>
      <c r="G174" s="4" t="s">
        <v>21</v>
      </c>
      <c r="H174" s="44" t="s">
        <v>620</v>
      </c>
      <c r="I174" s="5" t="s">
        <v>597</v>
      </c>
      <c r="J174" s="36" t="s">
        <v>155</v>
      </c>
      <c r="K174" s="2"/>
      <c r="L174" s="2"/>
      <c r="M174" s="2"/>
      <c r="N174" s="2"/>
      <c r="O174" s="2"/>
      <c r="P174" s="2"/>
      <c r="Q174" s="2"/>
      <c r="R174" s="3"/>
      <c r="S174" s="2"/>
      <c r="T174" s="2"/>
      <c r="U174" s="2"/>
      <c r="V174" s="2"/>
      <c r="W174" s="2"/>
      <c r="X174" s="2"/>
      <c r="Y174" s="2"/>
      <c r="Z174" s="2"/>
      <c r="AA174" s="2"/>
      <c r="AB174" s="2"/>
      <c r="AC174" s="2"/>
      <c r="AD174" s="2"/>
    </row>
    <row r="175" spans="1:30" ht="22.5" customHeight="1" x14ac:dyDescent="0.25">
      <c r="A175" s="8">
        <f t="shared" si="2"/>
        <v>174</v>
      </c>
      <c r="B175" s="24" t="s">
        <v>174</v>
      </c>
      <c r="C175" s="27">
        <v>42275</v>
      </c>
      <c r="D175" s="4">
        <v>45</v>
      </c>
      <c r="E175" s="4" t="s">
        <v>25</v>
      </c>
      <c r="F175" s="4" t="s">
        <v>39</v>
      </c>
      <c r="G175" s="4" t="s">
        <v>21</v>
      </c>
      <c r="H175" s="44" t="s">
        <v>621</v>
      </c>
      <c r="I175" s="5" t="s">
        <v>154</v>
      </c>
      <c r="J175" s="36" t="s">
        <v>155</v>
      </c>
      <c r="K175" s="2"/>
      <c r="L175" s="2"/>
      <c r="M175" s="2"/>
      <c r="N175" s="2"/>
      <c r="O175" s="2"/>
      <c r="P175" s="2"/>
      <c r="Q175" s="2"/>
      <c r="R175" s="3"/>
      <c r="S175" s="2"/>
      <c r="T175" s="2"/>
      <c r="U175" s="2"/>
      <c r="V175" s="2"/>
      <c r="W175" s="2"/>
      <c r="X175" s="2"/>
      <c r="Y175" s="2"/>
      <c r="Z175" s="2"/>
      <c r="AA175" s="2"/>
      <c r="AB175" s="2"/>
      <c r="AC175" s="2"/>
      <c r="AD175" s="2"/>
    </row>
    <row r="176" spans="1:30" ht="22.5" customHeight="1" x14ac:dyDescent="0.25">
      <c r="A176" s="8">
        <f t="shared" si="2"/>
        <v>175</v>
      </c>
      <c r="B176" s="24" t="s">
        <v>226</v>
      </c>
      <c r="C176" s="27">
        <v>42321</v>
      </c>
      <c r="D176" s="4">
        <v>28</v>
      </c>
      <c r="E176" s="4" t="s">
        <v>19</v>
      </c>
      <c r="F176" s="4" t="s">
        <v>20</v>
      </c>
      <c r="G176" s="4" t="s">
        <v>21</v>
      </c>
      <c r="H176" s="44" t="s">
        <v>621</v>
      </c>
      <c r="I176" s="5" t="s">
        <v>154</v>
      </c>
      <c r="J176" s="36" t="s">
        <v>155</v>
      </c>
      <c r="K176" s="2"/>
      <c r="L176" s="2"/>
      <c r="M176" s="2"/>
      <c r="N176" s="2"/>
      <c r="O176" s="2"/>
      <c r="P176" s="2"/>
      <c r="Q176" s="2"/>
      <c r="R176" s="3"/>
      <c r="S176" s="2"/>
      <c r="T176" s="2"/>
      <c r="U176" s="2"/>
      <c r="V176" s="2"/>
      <c r="W176" s="2"/>
      <c r="X176" s="2"/>
      <c r="Y176" s="2"/>
      <c r="Z176" s="2"/>
      <c r="AA176" s="2"/>
      <c r="AB176" s="2"/>
      <c r="AC176" s="2"/>
      <c r="AD176" s="2"/>
    </row>
    <row r="177" spans="1:30" ht="22.5" customHeight="1" x14ac:dyDescent="0.25">
      <c r="A177" s="8">
        <f t="shared" si="2"/>
        <v>176</v>
      </c>
      <c r="B177" s="24" t="s">
        <v>218</v>
      </c>
      <c r="C177" s="27">
        <v>42306</v>
      </c>
      <c r="D177" s="4">
        <v>33</v>
      </c>
      <c r="E177" s="4" t="s">
        <v>19</v>
      </c>
      <c r="F177" s="4" t="s">
        <v>37</v>
      </c>
      <c r="G177" s="4" t="s">
        <v>21</v>
      </c>
      <c r="H177" s="44" t="s">
        <v>620</v>
      </c>
      <c r="I177" s="5" t="s">
        <v>154</v>
      </c>
      <c r="J177" s="36" t="s">
        <v>155</v>
      </c>
      <c r="K177" s="2"/>
      <c r="L177" s="2"/>
      <c r="M177" s="2"/>
      <c r="N177" s="2"/>
      <c r="O177" s="2"/>
      <c r="P177" s="2"/>
      <c r="Q177" s="2"/>
      <c r="R177" s="3"/>
      <c r="S177" s="2"/>
      <c r="T177" s="2"/>
      <c r="U177" s="2"/>
      <c r="V177" s="2"/>
      <c r="W177" s="2"/>
      <c r="X177" s="2"/>
      <c r="Y177" s="2"/>
      <c r="Z177" s="2"/>
      <c r="AA177" s="2"/>
      <c r="AB177" s="2"/>
      <c r="AC177" s="2"/>
      <c r="AD177" s="2"/>
    </row>
    <row r="178" spans="1:30" ht="22.5" customHeight="1" x14ac:dyDescent="0.25">
      <c r="A178" s="8">
        <f t="shared" si="2"/>
        <v>177</v>
      </c>
      <c r="B178" s="24" t="s">
        <v>325</v>
      </c>
      <c r="C178" s="27">
        <v>41695</v>
      </c>
      <c r="D178" s="4">
        <v>27</v>
      </c>
      <c r="E178" s="4" t="s">
        <v>25</v>
      </c>
      <c r="F178" s="4" t="s">
        <v>32</v>
      </c>
      <c r="G178" s="4" t="s">
        <v>21</v>
      </c>
      <c r="H178" s="44" t="s">
        <v>622</v>
      </c>
      <c r="I178" s="5" t="s">
        <v>154</v>
      </c>
      <c r="J178" s="36" t="s">
        <v>155</v>
      </c>
      <c r="K178" s="2"/>
      <c r="L178" s="2"/>
      <c r="M178" s="2"/>
      <c r="N178" s="2"/>
      <c r="O178" s="2"/>
      <c r="P178" s="2"/>
      <c r="Q178" s="2"/>
      <c r="R178" s="3"/>
      <c r="S178" s="2"/>
      <c r="T178" s="2"/>
      <c r="U178" s="2"/>
      <c r="V178" s="2"/>
      <c r="W178" s="2"/>
      <c r="X178" s="2"/>
      <c r="Y178" s="2"/>
      <c r="Z178" s="2"/>
      <c r="AA178" s="2"/>
      <c r="AB178" s="2"/>
      <c r="AC178" s="2"/>
      <c r="AD178" s="2"/>
    </row>
    <row r="179" spans="1:30" ht="22.5" customHeight="1" x14ac:dyDescent="0.25">
      <c r="A179" s="8">
        <f t="shared" si="2"/>
        <v>178</v>
      </c>
      <c r="B179" s="24" t="s">
        <v>222</v>
      </c>
      <c r="C179" s="27">
        <v>41963</v>
      </c>
      <c r="D179" s="4">
        <v>29</v>
      </c>
      <c r="E179" s="4" t="s">
        <v>25</v>
      </c>
      <c r="F179" s="4" t="s">
        <v>86</v>
      </c>
      <c r="G179" s="4" t="s">
        <v>21</v>
      </c>
      <c r="H179" s="44" t="s">
        <v>621</v>
      </c>
      <c r="I179" s="5" t="s">
        <v>154</v>
      </c>
      <c r="J179" s="36" t="s">
        <v>155</v>
      </c>
      <c r="K179" s="2"/>
      <c r="L179" s="2"/>
      <c r="M179" s="2"/>
      <c r="N179" s="2"/>
      <c r="O179" s="2"/>
      <c r="P179" s="2"/>
      <c r="Q179" s="2"/>
      <c r="R179" s="3"/>
      <c r="S179" s="2"/>
      <c r="T179" s="2"/>
      <c r="U179" s="2"/>
      <c r="V179" s="2"/>
      <c r="W179" s="2"/>
      <c r="X179" s="2"/>
      <c r="Y179" s="2"/>
      <c r="Z179" s="2"/>
      <c r="AA179" s="2"/>
      <c r="AB179" s="2"/>
      <c r="AC179" s="2"/>
      <c r="AD179" s="2"/>
    </row>
    <row r="180" spans="1:30" ht="22.5" customHeight="1" x14ac:dyDescent="0.25">
      <c r="A180" s="8">
        <f t="shared" si="2"/>
        <v>179</v>
      </c>
      <c r="B180" s="24" t="s">
        <v>324</v>
      </c>
      <c r="C180" s="27">
        <v>41753</v>
      </c>
      <c r="D180" s="4">
        <v>30</v>
      </c>
      <c r="E180" s="4" t="s">
        <v>25</v>
      </c>
      <c r="F180" s="4" t="s">
        <v>32</v>
      </c>
      <c r="G180" s="4" t="s">
        <v>21</v>
      </c>
      <c r="H180" s="44" t="s">
        <v>622</v>
      </c>
      <c r="I180" s="5" t="s">
        <v>154</v>
      </c>
      <c r="J180" s="36" t="s">
        <v>155</v>
      </c>
      <c r="K180" s="2"/>
      <c r="L180" s="2"/>
      <c r="M180" s="2"/>
      <c r="N180" s="2"/>
      <c r="O180" s="2"/>
      <c r="P180" s="2"/>
      <c r="Q180" s="2"/>
      <c r="R180" s="3"/>
      <c r="S180" s="2"/>
      <c r="T180" s="2"/>
      <c r="U180" s="2"/>
      <c r="V180" s="2"/>
      <c r="W180" s="2"/>
      <c r="X180" s="2"/>
      <c r="Y180" s="2"/>
      <c r="Z180" s="2"/>
      <c r="AA180" s="2"/>
      <c r="AB180" s="2"/>
      <c r="AC180" s="2"/>
      <c r="AD180" s="2"/>
    </row>
    <row r="181" spans="1:30" ht="22.5" customHeight="1" x14ac:dyDescent="0.25">
      <c r="A181" s="8">
        <f t="shared" si="2"/>
        <v>180</v>
      </c>
      <c r="B181" s="24" t="s">
        <v>176</v>
      </c>
      <c r="C181" s="27">
        <v>41815</v>
      </c>
      <c r="D181" s="4">
        <v>36</v>
      </c>
      <c r="E181" s="4" t="s">
        <v>25</v>
      </c>
      <c r="F181" s="4" t="s">
        <v>39</v>
      </c>
      <c r="G181" s="4" t="s">
        <v>21</v>
      </c>
      <c r="H181" s="44" t="s">
        <v>622</v>
      </c>
      <c r="I181" s="5" t="s">
        <v>154</v>
      </c>
      <c r="J181" s="36" t="s">
        <v>155</v>
      </c>
      <c r="K181" s="2"/>
      <c r="L181" s="2"/>
      <c r="M181" s="2"/>
      <c r="N181" s="2"/>
      <c r="O181" s="2"/>
      <c r="P181" s="2"/>
      <c r="Q181" s="2"/>
      <c r="R181" s="3"/>
      <c r="S181" s="2"/>
      <c r="T181" s="2"/>
      <c r="U181" s="2"/>
      <c r="V181" s="2"/>
      <c r="W181" s="2"/>
      <c r="X181" s="2"/>
      <c r="Y181" s="2"/>
      <c r="Z181" s="2"/>
      <c r="AA181" s="2"/>
      <c r="AB181" s="2"/>
      <c r="AC181" s="2"/>
      <c r="AD181" s="2"/>
    </row>
    <row r="182" spans="1:30" ht="22.5" customHeight="1" x14ac:dyDescent="0.25">
      <c r="A182" s="8">
        <f t="shared" si="2"/>
        <v>181</v>
      </c>
      <c r="B182" s="24" t="s">
        <v>242</v>
      </c>
      <c r="C182" s="27">
        <v>41829</v>
      </c>
      <c r="D182" s="4">
        <v>34</v>
      </c>
      <c r="E182" s="4" t="s">
        <v>19</v>
      </c>
      <c r="F182" s="4" t="s">
        <v>32</v>
      </c>
      <c r="G182" s="4" t="s">
        <v>21</v>
      </c>
      <c r="H182" s="44" t="s">
        <v>620</v>
      </c>
      <c r="I182" s="5" t="s">
        <v>154</v>
      </c>
      <c r="J182" s="36" t="s">
        <v>155</v>
      </c>
      <c r="K182" s="2"/>
      <c r="L182" s="2"/>
      <c r="M182" s="2"/>
      <c r="N182" s="2"/>
      <c r="O182" s="2"/>
      <c r="P182" s="2"/>
      <c r="Q182" s="2"/>
      <c r="R182" s="3"/>
      <c r="S182" s="2"/>
      <c r="T182" s="2"/>
      <c r="U182" s="2"/>
      <c r="V182" s="2"/>
      <c r="W182" s="2"/>
      <c r="X182" s="2"/>
      <c r="Y182" s="2"/>
      <c r="Z182" s="2"/>
      <c r="AA182" s="2"/>
      <c r="AB182" s="2"/>
      <c r="AC182" s="2"/>
      <c r="AD182" s="2"/>
    </row>
    <row r="183" spans="1:30" ht="22.5" customHeight="1" x14ac:dyDescent="0.25">
      <c r="A183" s="8">
        <f t="shared" si="2"/>
        <v>182</v>
      </c>
      <c r="B183" s="24" t="s">
        <v>454</v>
      </c>
      <c r="C183" s="27">
        <v>41540</v>
      </c>
      <c r="D183" s="4">
        <v>25</v>
      </c>
      <c r="E183" s="4" t="s">
        <v>25</v>
      </c>
      <c r="F183" s="4" t="s">
        <v>39</v>
      </c>
      <c r="G183" s="4" t="s">
        <v>21</v>
      </c>
      <c r="H183" s="44" t="s">
        <v>620</v>
      </c>
      <c r="I183" s="5" t="s">
        <v>154</v>
      </c>
      <c r="J183" s="36" t="s">
        <v>155</v>
      </c>
      <c r="K183" s="2"/>
      <c r="L183" s="2"/>
      <c r="M183" s="2"/>
      <c r="N183" s="2"/>
      <c r="O183" s="2"/>
      <c r="P183" s="2"/>
      <c r="Q183" s="2"/>
      <c r="R183" s="3"/>
      <c r="S183" s="2"/>
      <c r="T183" s="2"/>
      <c r="U183" s="2"/>
      <c r="V183" s="2"/>
      <c r="W183" s="2"/>
      <c r="X183" s="2"/>
      <c r="Y183" s="2"/>
      <c r="Z183" s="2"/>
      <c r="AA183" s="2"/>
      <c r="AB183" s="2"/>
      <c r="AC183" s="2"/>
      <c r="AD183" s="2"/>
    </row>
    <row r="184" spans="1:30" ht="22.5" customHeight="1" x14ac:dyDescent="0.25">
      <c r="A184" s="8">
        <f t="shared" si="2"/>
        <v>183</v>
      </c>
      <c r="B184" s="24" t="s">
        <v>419</v>
      </c>
      <c r="C184" s="27">
        <v>41309</v>
      </c>
      <c r="D184" s="4">
        <v>34</v>
      </c>
      <c r="E184" s="4" t="s">
        <v>25</v>
      </c>
      <c r="F184" s="4" t="s">
        <v>37</v>
      </c>
      <c r="G184" s="4" t="s">
        <v>21</v>
      </c>
      <c r="H184" s="44" t="s">
        <v>621</v>
      </c>
      <c r="I184" s="5" t="s">
        <v>154</v>
      </c>
      <c r="J184" s="36" t="s">
        <v>155</v>
      </c>
      <c r="K184" s="2"/>
      <c r="L184" s="2"/>
      <c r="M184" s="2"/>
      <c r="N184" s="2"/>
      <c r="O184" s="2"/>
      <c r="P184" s="2"/>
      <c r="Q184" s="2"/>
      <c r="R184" s="3"/>
      <c r="S184" s="2"/>
      <c r="T184" s="2"/>
      <c r="U184" s="2"/>
      <c r="V184" s="2"/>
      <c r="W184" s="2"/>
      <c r="X184" s="2"/>
      <c r="Y184" s="2"/>
      <c r="Z184" s="2"/>
      <c r="AA184" s="2"/>
      <c r="AB184" s="2"/>
      <c r="AC184" s="2"/>
      <c r="AD184" s="2"/>
    </row>
    <row r="185" spans="1:30" ht="22.5" customHeight="1" x14ac:dyDescent="0.25">
      <c r="A185" s="8">
        <f t="shared" si="2"/>
        <v>184</v>
      </c>
      <c r="B185" s="24" t="s">
        <v>286</v>
      </c>
      <c r="C185" s="27">
        <v>41584</v>
      </c>
      <c r="D185" s="4">
        <v>40</v>
      </c>
      <c r="E185" s="4" t="s">
        <v>25</v>
      </c>
      <c r="F185" s="4" t="s">
        <v>32</v>
      </c>
      <c r="G185" s="4" t="s">
        <v>21</v>
      </c>
      <c r="H185" s="44" t="s">
        <v>621</v>
      </c>
      <c r="I185" s="5" t="s">
        <v>154</v>
      </c>
      <c r="J185" s="36" t="s">
        <v>155</v>
      </c>
      <c r="K185" s="2"/>
      <c r="L185" s="2"/>
      <c r="M185" s="2"/>
      <c r="N185" s="2"/>
      <c r="O185" s="2"/>
      <c r="P185" s="2"/>
      <c r="Q185" s="2"/>
      <c r="R185" s="3"/>
      <c r="S185" s="2"/>
      <c r="T185" s="2"/>
      <c r="U185" s="2"/>
      <c r="V185" s="2"/>
      <c r="W185" s="2"/>
      <c r="X185" s="2"/>
      <c r="Y185" s="2"/>
      <c r="Z185" s="2"/>
      <c r="AA185" s="2"/>
      <c r="AB185" s="2"/>
      <c r="AC185" s="2"/>
      <c r="AD185" s="2"/>
    </row>
    <row r="186" spans="1:30" ht="22.5" customHeight="1" x14ac:dyDescent="0.25">
      <c r="A186" s="8">
        <f t="shared" si="2"/>
        <v>185</v>
      </c>
      <c r="B186" s="24" t="s">
        <v>179</v>
      </c>
      <c r="C186" s="27">
        <v>41303</v>
      </c>
      <c r="D186" s="4">
        <v>45</v>
      </c>
      <c r="E186" s="4" t="s">
        <v>25</v>
      </c>
      <c r="F186" s="4" t="s">
        <v>26</v>
      </c>
      <c r="G186" s="4" t="s">
        <v>21</v>
      </c>
      <c r="H186" s="44" t="s">
        <v>620</v>
      </c>
      <c r="I186" s="5" t="s">
        <v>154</v>
      </c>
      <c r="J186" s="36" t="s">
        <v>155</v>
      </c>
      <c r="K186" s="2"/>
      <c r="L186" s="2"/>
      <c r="M186" s="2"/>
      <c r="N186" s="2"/>
      <c r="O186" s="2"/>
      <c r="P186" s="2"/>
      <c r="Q186" s="2"/>
      <c r="R186" s="3"/>
      <c r="S186" s="2"/>
      <c r="T186" s="2"/>
      <c r="U186" s="2"/>
      <c r="V186" s="2"/>
      <c r="W186" s="2"/>
      <c r="X186" s="2"/>
      <c r="Y186" s="2"/>
      <c r="Z186" s="2"/>
      <c r="AA186" s="2"/>
      <c r="AB186" s="2"/>
      <c r="AC186" s="2"/>
      <c r="AD186" s="2"/>
    </row>
    <row r="187" spans="1:30" ht="22.5" customHeight="1" x14ac:dyDescent="0.25">
      <c r="A187" s="8">
        <f t="shared" si="2"/>
        <v>186</v>
      </c>
      <c r="B187" s="24" t="s">
        <v>181</v>
      </c>
      <c r="C187" s="27">
        <v>41492</v>
      </c>
      <c r="D187" s="4">
        <v>57</v>
      </c>
      <c r="E187" s="4" t="s">
        <v>25</v>
      </c>
      <c r="F187" s="4" t="s">
        <v>50</v>
      </c>
      <c r="G187" s="4" t="s">
        <v>21</v>
      </c>
      <c r="H187" s="44" t="s">
        <v>622</v>
      </c>
      <c r="I187" s="5" t="s">
        <v>154</v>
      </c>
      <c r="J187" s="36" t="s">
        <v>155</v>
      </c>
      <c r="K187" s="2"/>
      <c r="L187" s="2"/>
      <c r="M187" s="2"/>
      <c r="N187" s="2"/>
      <c r="O187" s="2"/>
      <c r="P187" s="2"/>
      <c r="Q187" s="2"/>
      <c r="R187" s="3"/>
      <c r="S187" s="2"/>
      <c r="T187" s="2"/>
      <c r="U187" s="2"/>
      <c r="V187" s="2"/>
      <c r="W187" s="2"/>
      <c r="X187" s="2"/>
      <c r="Y187" s="2"/>
      <c r="Z187" s="2"/>
      <c r="AA187" s="2"/>
      <c r="AB187" s="2"/>
      <c r="AC187" s="2"/>
      <c r="AD187" s="2"/>
    </row>
    <row r="188" spans="1:30" ht="22.5" customHeight="1" x14ac:dyDescent="0.25">
      <c r="A188" s="8">
        <f t="shared" si="2"/>
        <v>187</v>
      </c>
      <c r="B188" s="24" t="s">
        <v>327</v>
      </c>
      <c r="C188" s="27">
        <v>41619</v>
      </c>
      <c r="D188" s="4">
        <v>30</v>
      </c>
      <c r="E188" s="4" t="s">
        <v>19</v>
      </c>
      <c r="F188" s="4" t="s">
        <v>34</v>
      </c>
      <c r="G188" s="4" t="s">
        <v>21</v>
      </c>
      <c r="H188" s="44" t="s">
        <v>621</v>
      </c>
      <c r="I188" s="5" t="s">
        <v>154</v>
      </c>
      <c r="J188" s="36" t="s">
        <v>155</v>
      </c>
      <c r="K188" s="2"/>
      <c r="L188" s="2"/>
      <c r="M188" s="2"/>
      <c r="N188" s="2"/>
      <c r="O188" s="2"/>
      <c r="P188" s="2"/>
      <c r="Q188" s="2"/>
      <c r="R188" s="3"/>
      <c r="S188" s="2"/>
      <c r="T188" s="2"/>
      <c r="U188" s="2"/>
      <c r="V188" s="2"/>
      <c r="W188" s="2"/>
      <c r="X188" s="2"/>
      <c r="Y188" s="2"/>
      <c r="Z188" s="2"/>
      <c r="AA188" s="2"/>
      <c r="AB188" s="2"/>
      <c r="AC188" s="2"/>
      <c r="AD188" s="2"/>
    </row>
    <row r="189" spans="1:30" ht="22.5" customHeight="1" x14ac:dyDescent="0.25">
      <c r="A189" s="8">
        <f t="shared" si="2"/>
        <v>188</v>
      </c>
      <c r="B189" s="24" t="s">
        <v>223</v>
      </c>
      <c r="C189" s="27">
        <v>41562</v>
      </c>
      <c r="D189" s="4">
        <v>35</v>
      </c>
      <c r="E189" s="4" t="s">
        <v>19</v>
      </c>
      <c r="F189" s="4" t="s">
        <v>37</v>
      </c>
      <c r="G189" s="4" t="s">
        <v>21</v>
      </c>
      <c r="H189" s="44" t="s">
        <v>622</v>
      </c>
      <c r="I189" s="5" t="s">
        <v>154</v>
      </c>
      <c r="J189" s="36" t="s">
        <v>155</v>
      </c>
      <c r="K189" s="2"/>
      <c r="L189" s="2"/>
      <c r="M189" s="2"/>
      <c r="N189" s="2"/>
      <c r="O189" s="2"/>
      <c r="P189" s="2"/>
      <c r="Q189" s="2"/>
      <c r="R189" s="3"/>
      <c r="S189" s="2"/>
      <c r="T189" s="2"/>
      <c r="U189" s="2"/>
      <c r="V189" s="2"/>
      <c r="W189" s="2"/>
      <c r="X189" s="2"/>
      <c r="Y189" s="2"/>
      <c r="Z189" s="2"/>
      <c r="AA189" s="2"/>
      <c r="AB189" s="2"/>
      <c r="AC189" s="2"/>
      <c r="AD189" s="2"/>
    </row>
    <row r="190" spans="1:30" ht="22.5" customHeight="1" x14ac:dyDescent="0.25">
      <c r="A190" s="8">
        <f t="shared" si="2"/>
        <v>189</v>
      </c>
      <c r="B190" s="24" t="s">
        <v>329</v>
      </c>
      <c r="C190" s="27">
        <v>41337</v>
      </c>
      <c r="D190" s="4">
        <v>40</v>
      </c>
      <c r="E190" s="4" t="s">
        <v>19</v>
      </c>
      <c r="F190" s="4" t="s">
        <v>34</v>
      </c>
      <c r="G190" s="4" t="s">
        <v>21</v>
      </c>
      <c r="H190" s="44" t="s">
        <v>622</v>
      </c>
      <c r="I190" s="5" t="s">
        <v>154</v>
      </c>
      <c r="J190" s="36" t="s">
        <v>155</v>
      </c>
      <c r="K190" s="2"/>
      <c r="L190" s="2"/>
      <c r="M190" s="2"/>
      <c r="N190" s="2"/>
      <c r="O190" s="2"/>
      <c r="P190" s="2"/>
      <c r="Q190" s="2"/>
      <c r="R190" s="3"/>
      <c r="S190" s="2"/>
      <c r="T190" s="2"/>
      <c r="U190" s="2"/>
      <c r="V190" s="2"/>
      <c r="W190" s="2"/>
      <c r="X190" s="2"/>
      <c r="Y190" s="2"/>
      <c r="Z190" s="2"/>
      <c r="AA190" s="2"/>
      <c r="AB190" s="2"/>
      <c r="AC190" s="2"/>
      <c r="AD190" s="2"/>
    </row>
    <row r="191" spans="1:30" ht="22.5" customHeight="1" x14ac:dyDescent="0.25">
      <c r="A191" s="8">
        <f t="shared" si="2"/>
        <v>190</v>
      </c>
      <c r="B191" s="24" t="s">
        <v>175</v>
      </c>
      <c r="C191" s="27">
        <v>41626</v>
      </c>
      <c r="D191" s="4">
        <v>46</v>
      </c>
      <c r="E191" s="4" t="s">
        <v>19</v>
      </c>
      <c r="F191" s="4" t="s">
        <v>39</v>
      </c>
      <c r="G191" s="4" t="s">
        <v>21</v>
      </c>
      <c r="H191" s="44" t="s">
        <v>620</v>
      </c>
      <c r="I191" s="5" t="s">
        <v>154</v>
      </c>
      <c r="J191" s="36" t="s">
        <v>155</v>
      </c>
      <c r="K191" s="2"/>
      <c r="L191" s="2"/>
      <c r="M191" s="2"/>
      <c r="N191" s="2"/>
      <c r="O191" s="2"/>
      <c r="P191" s="2"/>
      <c r="Q191" s="2"/>
      <c r="R191" s="3"/>
      <c r="S191" s="2"/>
      <c r="T191" s="2"/>
      <c r="U191" s="2"/>
      <c r="V191" s="2"/>
      <c r="W191" s="2"/>
      <c r="X191" s="2"/>
      <c r="Y191" s="2"/>
      <c r="Z191" s="2"/>
      <c r="AA191" s="2"/>
      <c r="AB191" s="2"/>
      <c r="AC191" s="2"/>
      <c r="AD191" s="2"/>
    </row>
    <row r="192" spans="1:30" ht="22.5" customHeight="1" x14ac:dyDescent="0.25">
      <c r="A192" s="8">
        <f t="shared" si="2"/>
        <v>191</v>
      </c>
      <c r="B192" s="24" t="s">
        <v>322</v>
      </c>
      <c r="C192" s="27">
        <v>41513</v>
      </c>
      <c r="D192" s="4">
        <v>47</v>
      </c>
      <c r="E192" s="4" t="s">
        <v>19</v>
      </c>
      <c r="F192" s="4" t="s">
        <v>37</v>
      </c>
      <c r="G192" s="4" t="s">
        <v>21</v>
      </c>
      <c r="H192" s="44" t="s">
        <v>620</v>
      </c>
      <c r="I192" s="5" t="s">
        <v>154</v>
      </c>
      <c r="J192" s="36" t="s">
        <v>155</v>
      </c>
      <c r="K192" s="2"/>
      <c r="L192" s="2"/>
      <c r="M192" s="2"/>
      <c r="N192" s="2"/>
      <c r="O192" s="2"/>
      <c r="P192" s="2"/>
      <c r="Q192" s="2"/>
      <c r="R192" s="3"/>
      <c r="S192" s="2"/>
      <c r="T192" s="2"/>
      <c r="U192" s="2"/>
      <c r="V192" s="2"/>
      <c r="W192" s="2"/>
      <c r="X192" s="2"/>
      <c r="Y192" s="2"/>
      <c r="Z192" s="2"/>
      <c r="AA192" s="2"/>
      <c r="AB192" s="2"/>
      <c r="AC192" s="2"/>
      <c r="AD192" s="2"/>
    </row>
    <row r="193" spans="1:30" ht="22.5" customHeight="1" x14ac:dyDescent="0.25">
      <c r="A193" s="8">
        <f t="shared" si="2"/>
        <v>192</v>
      </c>
      <c r="B193" s="24" t="s">
        <v>562</v>
      </c>
      <c r="C193" s="29">
        <v>40947</v>
      </c>
      <c r="D193" s="16">
        <v>48</v>
      </c>
      <c r="E193" s="16" t="s">
        <v>25</v>
      </c>
      <c r="F193" s="16" t="s">
        <v>61</v>
      </c>
      <c r="G193" s="16" t="s">
        <v>21</v>
      </c>
      <c r="H193" s="44" t="s">
        <v>621</v>
      </c>
      <c r="I193" s="17" t="s">
        <v>154</v>
      </c>
      <c r="J193" s="39" t="s">
        <v>155</v>
      </c>
      <c r="K193" s="2"/>
      <c r="L193" s="2"/>
      <c r="M193" s="2"/>
      <c r="N193" s="2"/>
      <c r="O193" s="2"/>
      <c r="P193" s="2"/>
      <c r="Q193" s="2"/>
      <c r="R193" s="3"/>
      <c r="S193" s="2"/>
      <c r="T193" s="2"/>
      <c r="U193" s="2"/>
      <c r="V193" s="2"/>
      <c r="W193" s="2"/>
      <c r="X193" s="2"/>
      <c r="Y193" s="2"/>
      <c r="Z193" s="2"/>
      <c r="AA193" s="2"/>
      <c r="AB193" s="2"/>
      <c r="AC193" s="2"/>
      <c r="AD193" s="2"/>
    </row>
    <row r="194" spans="1:30" ht="22.5" customHeight="1" x14ac:dyDescent="0.25">
      <c r="A194" s="8">
        <f t="shared" si="2"/>
        <v>193</v>
      </c>
      <c r="B194" s="24" t="s">
        <v>379</v>
      </c>
      <c r="C194" s="27">
        <v>41057</v>
      </c>
      <c r="D194" s="4">
        <v>54</v>
      </c>
      <c r="E194" s="4" t="s">
        <v>25</v>
      </c>
      <c r="F194" s="4" t="s">
        <v>39</v>
      </c>
      <c r="G194" s="4" t="s">
        <v>21</v>
      </c>
      <c r="H194" s="44" t="s">
        <v>621</v>
      </c>
      <c r="I194" s="5" t="s">
        <v>154</v>
      </c>
      <c r="J194" s="36" t="s">
        <v>155</v>
      </c>
      <c r="K194" s="2"/>
      <c r="L194" s="2"/>
      <c r="M194" s="2"/>
      <c r="N194" s="2"/>
      <c r="O194" s="2"/>
      <c r="P194" s="2"/>
      <c r="Q194" s="2"/>
      <c r="R194" s="3"/>
      <c r="S194" s="2"/>
      <c r="T194" s="2"/>
      <c r="U194" s="2"/>
      <c r="V194" s="2"/>
      <c r="W194" s="2"/>
      <c r="X194" s="2"/>
      <c r="Y194" s="2"/>
      <c r="Z194" s="2"/>
      <c r="AA194" s="2"/>
      <c r="AB194" s="2"/>
      <c r="AC194" s="2"/>
      <c r="AD194" s="2"/>
    </row>
    <row r="195" spans="1:30" ht="22.5" customHeight="1" x14ac:dyDescent="0.25">
      <c r="A195" s="8">
        <f t="shared" ref="A195:A258" si="3">A194+1</f>
        <v>194</v>
      </c>
      <c r="B195" s="24" t="s">
        <v>323</v>
      </c>
      <c r="C195" s="27">
        <v>41192</v>
      </c>
      <c r="D195" s="4">
        <v>56</v>
      </c>
      <c r="E195" s="4" t="s">
        <v>25</v>
      </c>
      <c r="F195" s="4" t="s">
        <v>32</v>
      </c>
      <c r="G195" s="4" t="s">
        <v>21</v>
      </c>
      <c r="H195" s="44" t="s">
        <v>620</v>
      </c>
      <c r="I195" s="5" t="s">
        <v>154</v>
      </c>
      <c r="J195" s="36" t="s">
        <v>155</v>
      </c>
      <c r="K195" s="2"/>
      <c r="L195" s="2"/>
      <c r="M195" s="2"/>
      <c r="N195" s="2"/>
      <c r="O195" s="2"/>
      <c r="P195" s="2"/>
      <c r="Q195" s="2"/>
      <c r="R195" s="3"/>
      <c r="S195" s="2"/>
      <c r="T195" s="2"/>
      <c r="U195" s="2"/>
      <c r="V195" s="2"/>
      <c r="W195" s="2"/>
      <c r="X195" s="2"/>
      <c r="Y195" s="2"/>
      <c r="Z195" s="2"/>
      <c r="AA195" s="2"/>
      <c r="AB195" s="2"/>
      <c r="AC195" s="2"/>
      <c r="AD195" s="2"/>
    </row>
    <row r="196" spans="1:30" ht="22.5" customHeight="1" x14ac:dyDescent="0.25">
      <c r="A196" s="8">
        <f t="shared" si="3"/>
        <v>195</v>
      </c>
      <c r="B196" s="24" t="s">
        <v>414</v>
      </c>
      <c r="C196" s="27">
        <v>41221</v>
      </c>
      <c r="D196" s="4">
        <v>40</v>
      </c>
      <c r="E196" s="4" t="s">
        <v>19</v>
      </c>
      <c r="F196" s="4" t="s">
        <v>34</v>
      </c>
      <c r="G196" s="4" t="s">
        <v>21</v>
      </c>
      <c r="H196" s="44" t="s">
        <v>622</v>
      </c>
      <c r="I196" s="5" t="s">
        <v>154</v>
      </c>
      <c r="J196" s="36" t="s">
        <v>155</v>
      </c>
      <c r="K196" s="2"/>
      <c r="L196" s="2"/>
      <c r="M196" s="2"/>
      <c r="N196" s="2"/>
      <c r="O196" s="2"/>
      <c r="P196" s="2"/>
      <c r="Q196" s="2"/>
      <c r="R196" s="3"/>
      <c r="S196" s="2"/>
      <c r="T196" s="2"/>
      <c r="U196" s="2"/>
      <c r="V196" s="2"/>
      <c r="W196" s="2"/>
      <c r="X196" s="2"/>
      <c r="Y196" s="2"/>
      <c r="Z196" s="2"/>
      <c r="AA196" s="2"/>
      <c r="AB196" s="2"/>
      <c r="AC196" s="2"/>
      <c r="AD196" s="2"/>
    </row>
    <row r="197" spans="1:30" ht="22.5" customHeight="1" x14ac:dyDescent="0.25">
      <c r="A197" s="8">
        <f t="shared" si="3"/>
        <v>196</v>
      </c>
      <c r="B197" s="24" t="s">
        <v>410</v>
      </c>
      <c r="C197" s="27">
        <v>41242</v>
      </c>
      <c r="D197" s="4">
        <v>56</v>
      </c>
      <c r="E197" s="4" t="s">
        <v>19</v>
      </c>
      <c r="F197" s="4" t="s">
        <v>34</v>
      </c>
      <c r="G197" s="4" t="s">
        <v>21</v>
      </c>
      <c r="H197" s="44" t="s">
        <v>621</v>
      </c>
      <c r="I197" s="5" t="s">
        <v>154</v>
      </c>
      <c r="J197" s="36" t="s">
        <v>155</v>
      </c>
      <c r="K197" s="2"/>
      <c r="L197" s="2"/>
      <c r="M197" s="2"/>
      <c r="N197" s="2"/>
      <c r="O197" s="2"/>
      <c r="P197" s="2"/>
      <c r="Q197" s="2"/>
      <c r="R197" s="3"/>
      <c r="S197" s="2"/>
      <c r="T197" s="2"/>
      <c r="U197" s="2"/>
      <c r="V197" s="2"/>
      <c r="W197" s="2"/>
      <c r="X197" s="2"/>
      <c r="Y197" s="2"/>
      <c r="Z197" s="2"/>
      <c r="AA197" s="2"/>
      <c r="AB197" s="2"/>
      <c r="AC197" s="2"/>
      <c r="AD197" s="2"/>
    </row>
    <row r="198" spans="1:30" ht="22.5" customHeight="1" x14ac:dyDescent="0.25">
      <c r="A198" s="8">
        <f t="shared" si="3"/>
        <v>197</v>
      </c>
      <c r="B198" s="24" t="s">
        <v>512</v>
      </c>
      <c r="C198" s="27">
        <v>40385</v>
      </c>
      <c r="D198" s="4">
        <v>45</v>
      </c>
      <c r="E198" s="4" t="s">
        <v>25</v>
      </c>
      <c r="F198" s="4" t="s">
        <v>42</v>
      </c>
      <c r="G198" s="4" t="s">
        <v>21</v>
      </c>
      <c r="H198" s="44" t="s">
        <v>622</v>
      </c>
      <c r="I198" s="5" t="s">
        <v>154</v>
      </c>
      <c r="J198" s="36" t="s">
        <v>155</v>
      </c>
      <c r="K198" s="2"/>
      <c r="L198" s="2"/>
      <c r="M198" s="2"/>
      <c r="N198" s="2"/>
      <c r="O198" s="2"/>
      <c r="P198" s="2"/>
      <c r="Q198" s="2"/>
      <c r="R198" s="3"/>
      <c r="S198" s="2"/>
      <c r="T198" s="2"/>
      <c r="U198" s="2"/>
      <c r="V198" s="2"/>
      <c r="W198" s="2"/>
      <c r="X198" s="2"/>
      <c r="Y198" s="2"/>
      <c r="Z198" s="2"/>
      <c r="AA198" s="2"/>
      <c r="AB198" s="2"/>
      <c r="AC198" s="2"/>
      <c r="AD198" s="2"/>
    </row>
    <row r="199" spans="1:30" ht="22.5" customHeight="1" x14ac:dyDescent="0.25">
      <c r="A199" s="8">
        <f t="shared" si="3"/>
        <v>198</v>
      </c>
      <c r="B199" s="24" t="s">
        <v>515</v>
      </c>
      <c r="C199" s="27">
        <v>40525</v>
      </c>
      <c r="D199" s="4">
        <v>48</v>
      </c>
      <c r="E199" s="4" t="s">
        <v>25</v>
      </c>
      <c r="F199" s="4" t="s">
        <v>26</v>
      </c>
      <c r="G199" s="4" t="s">
        <v>21</v>
      </c>
      <c r="H199" s="44" t="s">
        <v>622</v>
      </c>
      <c r="I199" s="5" t="s">
        <v>154</v>
      </c>
      <c r="J199" s="36" t="s">
        <v>155</v>
      </c>
      <c r="K199" s="2"/>
      <c r="L199" s="2"/>
      <c r="M199" s="2"/>
      <c r="N199" s="2"/>
      <c r="O199" s="2"/>
      <c r="P199" s="2"/>
      <c r="Q199" s="2"/>
      <c r="R199" s="3"/>
      <c r="S199" s="2"/>
      <c r="T199" s="2"/>
      <c r="U199" s="2"/>
      <c r="V199" s="2"/>
      <c r="W199" s="2"/>
      <c r="X199" s="2"/>
      <c r="Y199" s="2"/>
      <c r="Z199" s="2"/>
      <c r="AA199" s="2"/>
      <c r="AB199" s="2"/>
      <c r="AC199" s="2"/>
      <c r="AD199" s="2"/>
    </row>
    <row r="200" spans="1:30" ht="22.5" customHeight="1" x14ac:dyDescent="0.25">
      <c r="A200" s="8">
        <f t="shared" si="3"/>
        <v>199</v>
      </c>
      <c r="B200" s="24" t="s">
        <v>563</v>
      </c>
      <c r="C200" s="29">
        <v>40705</v>
      </c>
      <c r="D200" s="16">
        <v>52</v>
      </c>
      <c r="E200" s="16" t="s">
        <v>25</v>
      </c>
      <c r="F200" s="16" t="s">
        <v>39</v>
      </c>
      <c r="G200" s="16" t="s">
        <v>21</v>
      </c>
      <c r="H200" s="44" t="s">
        <v>620</v>
      </c>
      <c r="I200" s="17" t="s">
        <v>154</v>
      </c>
      <c r="J200" s="39" t="s">
        <v>155</v>
      </c>
      <c r="K200" s="2"/>
      <c r="L200" s="2"/>
      <c r="M200" s="2"/>
      <c r="N200" s="2"/>
      <c r="O200" s="2"/>
      <c r="P200" s="2"/>
      <c r="Q200" s="2"/>
      <c r="R200" s="3"/>
      <c r="S200" s="2"/>
      <c r="T200" s="2"/>
      <c r="U200" s="2"/>
      <c r="V200" s="2"/>
      <c r="W200" s="2"/>
      <c r="X200" s="2"/>
      <c r="Y200" s="2"/>
      <c r="Z200" s="2"/>
      <c r="AA200" s="2"/>
      <c r="AB200" s="2"/>
      <c r="AC200" s="2"/>
      <c r="AD200" s="2"/>
    </row>
    <row r="201" spans="1:30" ht="22.5" customHeight="1" x14ac:dyDescent="0.25">
      <c r="A201" s="8">
        <f t="shared" si="3"/>
        <v>200</v>
      </c>
      <c r="B201" s="24" t="s">
        <v>365</v>
      </c>
      <c r="C201" s="27">
        <v>40515</v>
      </c>
      <c r="D201" s="4">
        <v>52</v>
      </c>
      <c r="E201" s="4" t="s">
        <v>25</v>
      </c>
      <c r="F201" s="4" t="s">
        <v>50</v>
      </c>
      <c r="G201" s="4" t="s">
        <v>21</v>
      </c>
      <c r="H201" s="44" t="s">
        <v>620</v>
      </c>
      <c r="I201" s="5" t="s">
        <v>154</v>
      </c>
      <c r="J201" s="36" t="s">
        <v>155</v>
      </c>
      <c r="K201" s="2"/>
      <c r="L201" s="2"/>
      <c r="M201" s="2"/>
      <c r="N201" s="2"/>
      <c r="O201" s="2"/>
      <c r="P201" s="2"/>
      <c r="Q201" s="2"/>
      <c r="R201" s="3"/>
      <c r="S201" s="2"/>
      <c r="T201" s="2"/>
      <c r="U201" s="2"/>
      <c r="V201" s="2"/>
      <c r="W201" s="2"/>
      <c r="X201" s="2"/>
      <c r="Y201" s="2"/>
      <c r="Z201" s="2"/>
      <c r="AA201" s="2"/>
      <c r="AB201" s="2"/>
      <c r="AC201" s="2"/>
      <c r="AD201" s="2"/>
    </row>
    <row r="202" spans="1:30" ht="22.5" customHeight="1" x14ac:dyDescent="0.25">
      <c r="A202" s="8">
        <f t="shared" si="3"/>
        <v>201</v>
      </c>
      <c r="B202" s="24" t="s">
        <v>412</v>
      </c>
      <c r="C202" s="27">
        <v>40701</v>
      </c>
      <c r="D202" s="4">
        <v>63</v>
      </c>
      <c r="E202" s="4" t="s">
        <v>25</v>
      </c>
      <c r="F202" s="4" t="s">
        <v>34</v>
      </c>
      <c r="G202" s="4" t="s">
        <v>21</v>
      </c>
      <c r="H202" s="44" t="s">
        <v>621</v>
      </c>
      <c r="I202" s="5" t="s">
        <v>154</v>
      </c>
      <c r="J202" s="36" t="s">
        <v>155</v>
      </c>
      <c r="K202" s="2"/>
      <c r="L202" s="2"/>
      <c r="M202" s="2"/>
      <c r="N202" s="2"/>
      <c r="O202" s="2"/>
      <c r="P202" s="2"/>
      <c r="Q202" s="2"/>
      <c r="R202" s="3"/>
      <c r="S202" s="2"/>
      <c r="T202" s="2"/>
      <c r="U202" s="2"/>
      <c r="V202" s="2"/>
      <c r="W202" s="2"/>
      <c r="X202" s="2"/>
      <c r="Y202" s="2"/>
      <c r="Z202" s="2"/>
      <c r="AA202" s="2"/>
      <c r="AB202" s="2"/>
      <c r="AC202" s="2"/>
      <c r="AD202" s="2"/>
    </row>
    <row r="203" spans="1:30" ht="22.5" customHeight="1" x14ac:dyDescent="0.25">
      <c r="A203" s="8">
        <f t="shared" si="3"/>
        <v>202</v>
      </c>
      <c r="B203" s="24" t="s">
        <v>330</v>
      </c>
      <c r="C203" s="27">
        <v>40706</v>
      </c>
      <c r="D203" s="4">
        <v>67</v>
      </c>
      <c r="E203" s="4" t="s">
        <v>25</v>
      </c>
      <c r="F203" s="4" t="s">
        <v>34</v>
      </c>
      <c r="G203" s="4" t="s">
        <v>21</v>
      </c>
      <c r="H203" s="44" t="s">
        <v>621</v>
      </c>
      <c r="I203" s="5" t="s">
        <v>154</v>
      </c>
      <c r="J203" s="36" t="s">
        <v>155</v>
      </c>
      <c r="K203" s="2"/>
      <c r="L203" s="2"/>
      <c r="M203" s="2"/>
      <c r="N203" s="2"/>
      <c r="O203" s="2"/>
      <c r="P203" s="2"/>
      <c r="Q203" s="2"/>
      <c r="R203" s="3"/>
      <c r="S203" s="2"/>
      <c r="T203" s="2"/>
      <c r="U203" s="2"/>
      <c r="V203" s="2"/>
      <c r="W203" s="2"/>
      <c r="X203" s="2"/>
      <c r="Y203" s="2"/>
      <c r="Z203" s="2"/>
      <c r="AA203" s="2"/>
      <c r="AB203" s="2"/>
      <c r="AC203" s="2"/>
      <c r="AD203" s="2"/>
    </row>
    <row r="204" spans="1:30" ht="22.5" customHeight="1" x14ac:dyDescent="0.25">
      <c r="A204" s="8">
        <f t="shared" si="3"/>
        <v>203</v>
      </c>
      <c r="B204" s="24" t="s">
        <v>178</v>
      </c>
      <c r="C204" s="27">
        <v>40512</v>
      </c>
      <c r="D204" s="4">
        <v>39</v>
      </c>
      <c r="E204" s="4" t="s">
        <v>19</v>
      </c>
      <c r="F204" s="4" t="s">
        <v>61</v>
      </c>
      <c r="G204" s="4" t="s">
        <v>21</v>
      </c>
      <c r="H204" s="44" t="s">
        <v>620</v>
      </c>
      <c r="I204" s="5" t="s">
        <v>154</v>
      </c>
      <c r="J204" s="36" t="s">
        <v>155</v>
      </c>
      <c r="K204" s="2"/>
      <c r="L204" s="2"/>
      <c r="M204" s="2"/>
      <c r="N204" s="2"/>
      <c r="O204" s="2"/>
      <c r="P204" s="2"/>
      <c r="Q204" s="2"/>
      <c r="R204" s="3"/>
      <c r="S204" s="2"/>
      <c r="T204" s="2"/>
      <c r="U204" s="2"/>
      <c r="V204" s="2"/>
      <c r="W204" s="2"/>
      <c r="X204" s="2"/>
      <c r="Y204" s="2"/>
      <c r="Z204" s="2"/>
      <c r="AA204" s="2"/>
      <c r="AB204" s="2"/>
      <c r="AC204" s="2"/>
      <c r="AD204" s="2"/>
    </row>
    <row r="205" spans="1:30" ht="22.5" customHeight="1" x14ac:dyDescent="0.25">
      <c r="A205" s="8">
        <f t="shared" si="3"/>
        <v>204</v>
      </c>
      <c r="B205" s="24" t="s">
        <v>452</v>
      </c>
      <c r="C205" s="27">
        <v>40440</v>
      </c>
      <c r="D205" s="4">
        <v>42</v>
      </c>
      <c r="E205" s="4" t="s">
        <v>19</v>
      </c>
      <c r="F205" s="4" t="s">
        <v>42</v>
      </c>
      <c r="G205" s="4" t="s">
        <v>21</v>
      </c>
      <c r="H205" s="44" t="s">
        <v>622</v>
      </c>
      <c r="I205" s="5" t="s">
        <v>154</v>
      </c>
      <c r="J205" s="36" t="s">
        <v>155</v>
      </c>
      <c r="K205" s="2"/>
      <c r="L205" s="2"/>
      <c r="M205" s="2"/>
      <c r="N205" s="2"/>
      <c r="O205" s="2"/>
      <c r="P205" s="2"/>
      <c r="Q205" s="2"/>
      <c r="R205" s="3"/>
      <c r="S205" s="2"/>
      <c r="T205" s="2"/>
      <c r="U205" s="2"/>
      <c r="V205" s="2"/>
      <c r="W205" s="2"/>
      <c r="X205" s="2"/>
      <c r="Y205" s="2"/>
      <c r="Z205" s="2"/>
      <c r="AA205" s="2"/>
      <c r="AB205" s="2"/>
      <c r="AC205" s="2"/>
      <c r="AD205" s="2"/>
    </row>
    <row r="206" spans="1:30" ht="22.5" customHeight="1" x14ac:dyDescent="0.25">
      <c r="A206" s="8">
        <f t="shared" si="3"/>
        <v>205</v>
      </c>
      <c r="B206" s="24" t="s">
        <v>516</v>
      </c>
      <c r="C206" s="27">
        <v>40525</v>
      </c>
      <c r="D206" s="4">
        <v>43</v>
      </c>
      <c r="E206" s="4" t="s">
        <v>19</v>
      </c>
      <c r="F206" s="4" t="s">
        <v>26</v>
      </c>
      <c r="G206" s="4" t="s">
        <v>21</v>
      </c>
      <c r="H206" s="44" t="s">
        <v>621</v>
      </c>
      <c r="I206" s="5" t="s">
        <v>154</v>
      </c>
      <c r="J206" s="36" t="s">
        <v>155</v>
      </c>
      <c r="K206" s="2"/>
      <c r="L206" s="2"/>
      <c r="M206" s="2"/>
      <c r="N206" s="2"/>
      <c r="O206" s="2"/>
      <c r="P206" s="2"/>
      <c r="Q206" s="2"/>
      <c r="R206" s="3"/>
      <c r="S206" s="2"/>
      <c r="T206" s="2"/>
      <c r="U206" s="2"/>
      <c r="V206" s="2"/>
      <c r="W206" s="2"/>
      <c r="X206" s="2"/>
      <c r="Y206" s="2"/>
      <c r="Z206" s="2"/>
      <c r="AA206" s="2"/>
      <c r="AB206" s="2"/>
      <c r="AC206" s="2"/>
      <c r="AD206" s="2"/>
    </row>
    <row r="207" spans="1:30" ht="22.5" customHeight="1" x14ac:dyDescent="0.25">
      <c r="A207" s="8">
        <f t="shared" si="3"/>
        <v>206</v>
      </c>
      <c r="B207" s="24" t="s">
        <v>491</v>
      </c>
      <c r="C207" s="27">
        <v>40700</v>
      </c>
      <c r="D207" s="4">
        <v>45</v>
      </c>
      <c r="E207" s="4" t="s">
        <v>19</v>
      </c>
      <c r="F207" s="4" t="s">
        <v>20</v>
      </c>
      <c r="G207" s="4" t="s">
        <v>21</v>
      </c>
      <c r="H207" s="44" t="s">
        <v>622</v>
      </c>
      <c r="I207" s="5" t="s">
        <v>154</v>
      </c>
      <c r="J207" s="36" t="s">
        <v>155</v>
      </c>
      <c r="K207" s="2"/>
      <c r="L207" s="2"/>
      <c r="M207" s="2"/>
      <c r="N207" s="2"/>
      <c r="O207" s="2"/>
      <c r="P207" s="2"/>
      <c r="Q207" s="2"/>
      <c r="R207" s="3"/>
      <c r="S207" s="2"/>
      <c r="T207" s="2"/>
      <c r="U207" s="2"/>
      <c r="V207" s="2"/>
      <c r="W207" s="2"/>
      <c r="X207" s="2"/>
      <c r="Y207" s="2"/>
      <c r="Z207" s="2"/>
      <c r="AA207" s="2"/>
      <c r="AB207" s="2"/>
      <c r="AC207" s="2"/>
      <c r="AD207" s="2"/>
    </row>
    <row r="208" spans="1:30" ht="22.5" customHeight="1" x14ac:dyDescent="0.25">
      <c r="A208" s="8">
        <f t="shared" si="3"/>
        <v>207</v>
      </c>
      <c r="B208" s="24" t="s">
        <v>520</v>
      </c>
      <c r="C208" s="27">
        <v>40359</v>
      </c>
      <c r="D208" s="4">
        <v>50</v>
      </c>
      <c r="E208" s="4" t="s">
        <v>19</v>
      </c>
      <c r="F208" s="4" t="s">
        <v>37</v>
      </c>
      <c r="G208" s="4" t="s">
        <v>21</v>
      </c>
      <c r="H208" s="44" t="s">
        <v>622</v>
      </c>
      <c r="I208" s="5" t="s">
        <v>154</v>
      </c>
      <c r="J208" s="36" t="s">
        <v>155</v>
      </c>
      <c r="K208" s="2"/>
      <c r="L208" s="2"/>
      <c r="M208" s="2"/>
      <c r="N208" s="2"/>
      <c r="O208" s="2"/>
      <c r="P208" s="2"/>
      <c r="Q208" s="2"/>
      <c r="R208" s="3"/>
      <c r="S208" s="2"/>
      <c r="T208" s="2"/>
      <c r="U208" s="2"/>
      <c r="V208" s="2"/>
      <c r="W208" s="2"/>
      <c r="X208" s="2"/>
      <c r="Y208" s="2"/>
      <c r="Z208" s="2"/>
      <c r="AA208" s="2"/>
      <c r="AB208" s="2"/>
      <c r="AC208" s="2"/>
      <c r="AD208" s="2"/>
    </row>
    <row r="209" spans="1:30" ht="22.5" customHeight="1" x14ac:dyDescent="0.25">
      <c r="A209" s="8">
        <f t="shared" si="3"/>
        <v>208</v>
      </c>
      <c r="B209" s="24" t="s">
        <v>600</v>
      </c>
      <c r="C209" s="27">
        <v>40379</v>
      </c>
      <c r="D209" s="4">
        <v>35</v>
      </c>
      <c r="E209" s="4" t="s">
        <v>19</v>
      </c>
      <c r="F209" s="4" t="s">
        <v>50</v>
      </c>
      <c r="G209" s="4" t="s">
        <v>51</v>
      </c>
      <c r="H209" s="44" t="s">
        <v>620</v>
      </c>
      <c r="I209" s="5" t="s">
        <v>154</v>
      </c>
      <c r="J209" s="36" t="s">
        <v>155</v>
      </c>
      <c r="K209" s="2"/>
      <c r="L209" s="2"/>
      <c r="M209" s="2"/>
      <c r="N209" s="2"/>
      <c r="O209" s="2"/>
      <c r="P209" s="2"/>
      <c r="Q209" s="2"/>
      <c r="R209" s="3"/>
      <c r="S209" s="2"/>
      <c r="T209" s="2"/>
      <c r="U209" s="2"/>
      <c r="V209" s="2"/>
      <c r="W209" s="2"/>
      <c r="X209" s="2"/>
      <c r="Y209" s="2"/>
      <c r="Z209" s="2"/>
      <c r="AA209" s="2"/>
      <c r="AB209" s="2"/>
      <c r="AC209" s="2"/>
      <c r="AD209" s="2"/>
    </row>
    <row r="210" spans="1:30" ht="22.5" customHeight="1" x14ac:dyDescent="0.25">
      <c r="A210" s="8">
        <f t="shared" si="3"/>
        <v>209</v>
      </c>
      <c r="B210" s="24" t="s">
        <v>426</v>
      </c>
      <c r="C210" s="27">
        <v>37905</v>
      </c>
      <c r="D210" s="4">
        <v>52</v>
      </c>
      <c r="E210" s="4" t="s">
        <v>25</v>
      </c>
      <c r="F210" s="4" t="s">
        <v>20</v>
      </c>
      <c r="G210" s="4" t="s">
        <v>21</v>
      </c>
      <c r="H210" s="44" t="s">
        <v>620</v>
      </c>
      <c r="I210" s="5" t="s">
        <v>154</v>
      </c>
      <c r="J210" s="36" t="s">
        <v>155</v>
      </c>
      <c r="K210" s="2"/>
      <c r="L210" s="2"/>
      <c r="M210" s="2"/>
      <c r="N210" s="2"/>
      <c r="O210" s="2"/>
      <c r="P210" s="2"/>
      <c r="Q210" s="2"/>
      <c r="R210" s="3"/>
      <c r="S210" s="2"/>
      <c r="T210" s="2"/>
      <c r="U210" s="2"/>
      <c r="V210" s="2"/>
      <c r="W210" s="2"/>
      <c r="X210" s="2"/>
      <c r="Y210" s="2"/>
      <c r="Z210" s="2"/>
      <c r="AA210" s="2"/>
      <c r="AB210" s="2"/>
      <c r="AC210" s="2"/>
      <c r="AD210" s="2"/>
    </row>
    <row r="211" spans="1:30" ht="22.5" customHeight="1" x14ac:dyDescent="0.25">
      <c r="A211" s="8">
        <f t="shared" si="3"/>
        <v>210</v>
      </c>
      <c r="B211" s="24" t="s">
        <v>418</v>
      </c>
      <c r="C211" s="27">
        <v>38803</v>
      </c>
      <c r="D211" s="4">
        <v>60</v>
      </c>
      <c r="E211" s="4" t="s">
        <v>25</v>
      </c>
      <c r="F211" s="4" t="s">
        <v>37</v>
      </c>
      <c r="G211" s="4" t="s">
        <v>21</v>
      </c>
      <c r="H211" s="44" t="s">
        <v>621</v>
      </c>
      <c r="I211" s="5" t="s">
        <v>154</v>
      </c>
      <c r="J211" s="36" t="s">
        <v>155</v>
      </c>
      <c r="K211" s="2"/>
      <c r="L211" s="2"/>
      <c r="M211" s="2"/>
      <c r="N211" s="2"/>
      <c r="O211" s="2"/>
      <c r="P211" s="2"/>
      <c r="Q211" s="2"/>
      <c r="R211" s="3"/>
      <c r="S211" s="2"/>
      <c r="T211" s="2"/>
      <c r="U211" s="2"/>
      <c r="V211" s="2"/>
      <c r="W211" s="2"/>
      <c r="X211" s="2"/>
      <c r="Y211" s="2"/>
      <c r="Z211" s="2"/>
      <c r="AA211" s="2"/>
      <c r="AB211" s="2"/>
      <c r="AC211" s="2"/>
      <c r="AD211" s="2"/>
    </row>
    <row r="212" spans="1:30" ht="22.5" customHeight="1" x14ac:dyDescent="0.25">
      <c r="A212" s="8">
        <f t="shared" si="3"/>
        <v>211</v>
      </c>
      <c r="B212" s="24" t="s">
        <v>469</v>
      </c>
      <c r="C212" s="27">
        <v>39326</v>
      </c>
      <c r="D212" s="4">
        <v>42</v>
      </c>
      <c r="E212" s="4" t="s">
        <v>19</v>
      </c>
      <c r="F212" s="4" t="s">
        <v>61</v>
      </c>
      <c r="G212" s="4" t="s">
        <v>21</v>
      </c>
      <c r="H212" s="44" t="s">
        <v>621</v>
      </c>
      <c r="I212" s="5" t="s">
        <v>154</v>
      </c>
      <c r="J212" s="36" t="s">
        <v>155</v>
      </c>
      <c r="K212" s="2"/>
      <c r="L212" s="2"/>
      <c r="M212" s="2"/>
      <c r="N212" s="2"/>
      <c r="O212" s="2"/>
      <c r="P212" s="2"/>
      <c r="Q212" s="2"/>
      <c r="R212" s="3"/>
      <c r="S212" s="2"/>
      <c r="T212" s="2"/>
      <c r="U212" s="2"/>
      <c r="V212" s="2"/>
      <c r="W212" s="2"/>
      <c r="X212" s="2"/>
      <c r="Y212" s="2"/>
      <c r="Z212" s="2"/>
      <c r="AA212" s="2"/>
      <c r="AB212" s="2"/>
      <c r="AC212" s="2"/>
      <c r="AD212" s="2"/>
    </row>
    <row r="213" spans="1:30" ht="22.5" customHeight="1" x14ac:dyDescent="0.25">
      <c r="A213" s="8">
        <f t="shared" si="3"/>
        <v>212</v>
      </c>
      <c r="B213" s="24" t="s">
        <v>264</v>
      </c>
      <c r="C213" s="27">
        <v>39348</v>
      </c>
      <c r="D213" s="4">
        <v>47</v>
      </c>
      <c r="E213" s="4" t="s">
        <v>19</v>
      </c>
      <c r="F213" s="4" t="s">
        <v>34</v>
      </c>
      <c r="G213" s="4" t="s">
        <v>21</v>
      </c>
      <c r="H213" s="44" t="s">
        <v>620</v>
      </c>
      <c r="I213" s="5" t="s">
        <v>154</v>
      </c>
      <c r="J213" s="36" t="s">
        <v>155</v>
      </c>
      <c r="K213"/>
      <c r="L213"/>
      <c r="M213"/>
      <c r="N213"/>
      <c r="O213"/>
      <c r="R213" s="3"/>
      <c r="U213" s="2"/>
    </row>
    <row r="214" spans="1:30" ht="22.5" customHeight="1" x14ac:dyDescent="0.25">
      <c r="A214" s="8">
        <f t="shared" si="3"/>
        <v>213</v>
      </c>
      <c r="B214" s="24" t="s">
        <v>342</v>
      </c>
      <c r="C214" s="27">
        <v>43600</v>
      </c>
      <c r="D214" s="4">
        <v>25</v>
      </c>
      <c r="E214" s="4" t="s">
        <v>25</v>
      </c>
      <c r="F214" s="4" t="s">
        <v>28</v>
      </c>
      <c r="G214" s="4" t="s">
        <v>21</v>
      </c>
      <c r="H214" s="44" t="s">
        <v>622</v>
      </c>
      <c r="I214" s="5" t="s">
        <v>211</v>
      </c>
      <c r="J214" s="36" t="s">
        <v>311</v>
      </c>
      <c r="K214"/>
      <c r="L214"/>
      <c r="M214"/>
      <c r="N214"/>
      <c r="O214"/>
      <c r="R214" s="3"/>
      <c r="U214" s="2"/>
    </row>
    <row r="215" spans="1:30" ht="22.5" customHeight="1" x14ac:dyDescent="0.25">
      <c r="A215" s="8">
        <f t="shared" si="3"/>
        <v>214</v>
      </c>
      <c r="B215" s="24" t="s">
        <v>310</v>
      </c>
      <c r="C215" s="27">
        <v>43194</v>
      </c>
      <c r="D215" s="4">
        <v>24</v>
      </c>
      <c r="E215" s="4" t="s">
        <v>25</v>
      </c>
      <c r="F215" s="4" t="s">
        <v>39</v>
      </c>
      <c r="G215" s="4" t="s">
        <v>21</v>
      </c>
      <c r="H215" s="44" t="s">
        <v>621</v>
      </c>
      <c r="I215" s="5" t="s">
        <v>211</v>
      </c>
      <c r="J215" s="36" t="s">
        <v>311</v>
      </c>
      <c r="K215"/>
      <c r="L215"/>
      <c r="M215"/>
      <c r="N215"/>
      <c r="O215"/>
      <c r="R215" s="3"/>
      <c r="U215" s="2"/>
    </row>
    <row r="216" spans="1:30" ht="22.5" customHeight="1" x14ac:dyDescent="0.25">
      <c r="A216" s="8">
        <f t="shared" si="3"/>
        <v>215</v>
      </c>
      <c r="B216" s="24" t="s">
        <v>445</v>
      </c>
      <c r="C216" s="27">
        <v>43274</v>
      </c>
      <c r="D216" s="4">
        <v>29</v>
      </c>
      <c r="E216" s="4" t="s">
        <v>25</v>
      </c>
      <c r="F216" s="4" t="s">
        <v>50</v>
      </c>
      <c r="G216" s="4" t="s">
        <v>21</v>
      </c>
      <c r="H216" s="44" t="s">
        <v>622</v>
      </c>
      <c r="I216" s="5" t="s">
        <v>211</v>
      </c>
      <c r="J216" s="36" t="s">
        <v>311</v>
      </c>
      <c r="K216"/>
      <c r="L216"/>
      <c r="M216"/>
      <c r="N216"/>
      <c r="O216"/>
      <c r="R216" s="3"/>
      <c r="U216" s="2"/>
    </row>
    <row r="217" spans="1:30" ht="22.5" customHeight="1" x14ac:dyDescent="0.25">
      <c r="A217" s="8">
        <f t="shared" si="3"/>
        <v>216</v>
      </c>
      <c r="B217" s="24" t="s">
        <v>333</v>
      </c>
      <c r="C217" s="27">
        <v>43105</v>
      </c>
      <c r="D217" s="4">
        <v>28</v>
      </c>
      <c r="E217" s="4" t="s">
        <v>19</v>
      </c>
      <c r="F217" s="4" t="s">
        <v>28</v>
      </c>
      <c r="G217" s="4" t="s">
        <v>51</v>
      </c>
      <c r="H217" s="44" t="s">
        <v>622</v>
      </c>
      <c r="I217" s="5" t="s">
        <v>211</v>
      </c>
      <c r="J217" s="36" t="s">
        <v>311</v>
      </c>
      <c r="K217"/>
      <c r="L217"/>
      <c r="M217"/>
      <c r="N217"/>
      <c r="O217"/>
      <c r="R217" s="3"/>
      <c r="U217" s="2"/>
    </row>
    <row r="218" spans="1:30" ht="22.5" customHeight="1" x14ac:dyDescent="0.25">
      <c r="A218" s="8">
        <f t="shared" si="3"/>
        <v>217</v>
      </c>
      <c r="B218" s="24" t="s">
        <v>335</v>
      </c>
      <c r="C218" s="27">
        <v>43458</v>
      </c>
      <c r="D218" s="4">
        <v>30</v>
      </c>
      <c r="E218" s="4" t="s">
        <v>19</v>
      </c>
      <c r="F218" s="4" t="s">
        <v>50</v>
      </c>
      <c r="G218" s="4" t="s">
        <v>51</v>
      </c>
      <c r="H218" s="44" t="s">
        <v>620</v>
      </c>
      <c r="I218" s="5" t="s">
        <v>211</v>
      </c>
      <c r="J218" s="36" t="s">
        <v>311</v>
      </c>
      <c r="K218"/>
      <c r="L218"/>
      <c r="M218"/>
      <c r="N218"/>
      <c r="O218"/>
      <c r="R218" s="3"/>
      <c r="U218" s="2"/>
    </row>
    <row r="219" spans="1:30" ht="22.5" customHeight="1" x14ac:dyDescent="0.25">
      <c r="A219" s="8">
        <f t="shared" si="3"/>
        <v>218</v>
      </c>
      <c r="B219" s="24" t="s">
        <v>339</v>
      </c>
      <c r="C219" s="27">
        <v>43068</v>
      </c>
      <c r="D219" s="4">
        <v>30</v>
      </c>
      <c r="E219" s="4" t="s">
        <v>25</v>
      </c>
      <c r="F219" s="4" t="s">
        <v>50</v>
      </c>
      <c r="G219" s="4" t="s">
        <v>21</v>
      </c>
      <c r="H219" s="44" t="s">
        <v>620</v>
      </c>
      <c r="I219" s="5" t="s">
        <v>211</v>
      </c>
      <c r="J219" s="36" t="s">
        <v>311</v>
      </c>
      <c r="K219"/>
      <c r="L219"/>
      <c r="M219"/>
      <c r="N219"/>
      <c r="O219"/>
      <c r="R219" s="3"/>
      <c r="U219" s="2"/>
    </row>
    <row r="220" spans="1:30" ht="22.5" customHeight="1" x14ac:dyDescent="0.25">
      <c r="A220" s="8">
        <f t="shared" si="3"/>
        <v>219</v>
      </c>
      <c r="B220" s="24" t="s">
        <v>343</v>
      </c>
      <c r="C220" s="27">
        <v>43070</v>
      </c>
      <c r="D220" s="4">
        <v>25</v>
      </c>
      <c r="E220" s="4" t="s">
        <v>19</v>
      </c>
      <c r="F220" s="4" t="s">
        <v>20</v>
      </c>
      <c r="G220" s="4" t="s">
        <v>21</v>
      </c>
      <c r="H220" s="44" t="s">
        <v>621</v>
      </c>
      <c r="I220" s="5" t="s">
        <v>211</v>
      </c>
      <c r="J220" s="36" t="s">
        <v>311</v>
      </c>
      <c r="K220"/>
      <c r="L220"/>
      <c r="M220"/>
      <c r="N220"/>
      <c r="O220"/>
      <c r="R220" s="3"/>
      <c r="U220" s="2"/>
    </row>
    <row r="221" spans="1:30" ht="22.5" customHeight="1" x14ac:dyDescent="0.25">
      <c r="A221" s="8">
        <f t="shared" si="3"/>
        <v>220</v>
      </c>
      <c r="B221" s="24" t="s">
        <v>338</v>
      </c>
      <c r="C221" s="27">
        <v>43051</v>
      </c>
      <c r="D221" s="4">
        <v>33</v>
      </c>
      <c r="E221" s="4" t="s">
        <v>19</v>
      </c>
      <c r="F221" s="4" t="s">
        <v>50</v>
      </c>
      <c r="G221" s="4" t="s">
        <v>51</v>
      </c>
      <c r="H221" s="44" t="s">
        <v>621</v>
      </c>
      <c r="I221" s="5" t="s">
        <v>211</v>
      </c>
      <c r="J221" s="36" t="s">
        <v>311</v>
      </c>
      <c r="K221"/>
      <c r="L221"/>
      <c r="M221"/>
      <c r="N221"/>
      <c r="O221"/>
      <c r="R221" s="3"/>
      <c r="U221" s="2"/>
    </row>
    <row r="222" spans="1:30" ht="22.5" customHeight="1" x14ac:dyDescent="0.25">
      <c r="A222" s="8">
        <f t="shared" si="3"/>
        <v>221</v>
      </c>
      <c r="B222" s="24" t="s">
        <v>592</v>
      </c>
      <c r="C222" s="27">
        <v>42651</v>
      </c>
      <c r="D222" s="4">
        <v>23</v>
      </c>
      <c r="E222" s="4" t="s">
        <v>25</v>
      </c>
      <c r="F222" s="4" t="s">
        <v>28</v>
      </c>
      <c r="G222" s="4" t="s">
        <v>21</v>
      </c>
      <c r="H222" s="44" t="s">
        <v>620</v>
      </c>
      <c r="I222" s="5" t="s">
        <v>211</v>
      </c>
      <c r="J222" s="36" t="s">
        <v>311</v>
      </c>
      <c r="K222"/>
      <c r="L222"/>
      <c r="M222"/>
      <c r="N222"/>
      <c r="O222"/>
      <c r="R222" s="3"/>
      <c r="U222" s="2"/>
    </row>
    <row r="223" spans="1:30" ht="22.5" customHeight="1" x14ac:dyDescent="0.25">
      <c r="A223" s="8">
        <f t="shared" si="3"/>
        <v>222</v>
      </c>
      <c r="B223" s="24" t="s">
        <v>334</v>
      </c>
      <c r="C223" s="27">
        <v>42466</v>
      </c>
      <c r="D223" s="4">
        <v>32</v>
      </c>
      <c r="E223" s="4" t="s">
        <v>25</v>
      </c>
      <c r="F223" s="4" t="s">
        <v>42</v>
      </c>
      <c r="G223" s="4" t="s">
        <v>21</v>
      </c>
      <c r="H223" s="44" t="s">
        <v>622</v>
      </c>
      <c r="I223" s="5" t="s">
        <v>211</v>
      </c>
      <c r="J223" s="36" t="s">
        <v>311</v>
      </c>
      <c r="K223"/>
      <c r="L223"/>
      <c r="M223"/>
      <c r="N223"/>
      <c r="O223"/>
      <c r="R223" s="3"/>
      <c r="U223" s="2"/>
    </row>
    <row r="224" spans="1:30" ht="22.5" customHeight="1" x14ac:dyDescent="0.25">
      <c r="A224" s="8">
        <f t="shared" si="3"/>
        <v>223</v>
      </c>
      <c r="B224" s="24" t="s">
        <v>313</v>
      </c>
      <c r="C224" s="27">
        <v>42384</v>
      </c>
      <c r="D224" s="4">
        <v>36</v>
      </c>
      <c r="E224" s="4" t="s">
        <v>25</v>
      </c>
      <c r="F224" s="4" t="s">
        <v>32</v>
      </c>
      <c r="G224" s="4" t="s">
        <v>21</v>
      </c>
      <c r="H224" s="44" t="s">
        <v>621</v>
      </c>
      <c r="I224" s="5" t="s">
        <v>211</v>
      </c>
      <c r="J224" s="36" t="s">
        <v>311</v>
      </c>
      <c r="K224"/>
      <c r="L224"/>
      <c r="M224"/>
      <c r="N224"/>
      <c r="O224"/>
      <c r="R224" s="3"/>
      <c r="U224" s="2"/>
    </row>
    <row r="225" spans="1:21" ht="22.5" customHeight="1" x14ac:dyDescent="0.25">
      <c r="A225" s="8">
        <f t="shared" si="3"/>
        <v>224</v>
      </c>
      <c r="B225" s="24" t="s">
        <v>348</v>
      </c>
      <c r="C225" s="27">
        <v>42639</v>
      </c>
      <c r="D225" s="4">
        <v>43</v>
      </c>
      <c r="E225" s="4" t="s">
        <v>25</v>
      </c>
      <c r="F225" s="4" t="s">
        <v>39</v>
      </c>
      <c r="G225" s="4" t="s">
        <v>21</v>
      </c>
      <c r="H225" s="44" t="s">
        <v>622</v>
      </c>
      <c r="I225" s="5" t="s">
        <v>211</v>
      </c>
      <c r="J225" s="36" t="s">
        <v>311</v>
      </c>
      <c r="K225"/>
      <c r="L225"/>
      <c r="M225"/>
      <c r="N225"/>
      <c r="O225"/>
      <c r="R225" s="3"/>
      <c r="U225" s="2"/>
    </row>
    <row r="226" spans="1:21" ht="22.5" customHeight="1" x14ac:dyDescent="0.25">
      <c r="A226" s="8">
        <f t="shared" si="3"/>
        <v>225</v>
      </c>
      <c r="B226" s="24" t="s">
        <v>312</v>
      </c>
      <c r="C226" s="27">
        <v>42475</v>
      </c>
      <c r="D226" s="4">
        <v>30</v>
      </c>
      <c r="E226" s="4" t="s">
        <v>19</v>
      </c>
      <c r="F226" s="4" t="s">
        <v>42</v>
      </c>
      <c r="G226" s="4" t="s">
        <v>21</v>
      </c>
      <c r="H226" s="44" t="s">
        <v>622</v>
      </c>
      <c r="I226" s="5" t="s">
        <v>211</v>
      </c>
      <c r="J226" s="36" t="s">
        <v>311</v>
      </c>
      <c r="K226"/>
      <c r="L226"/>
      <c r="M226"/>
      <c r="N226"/>
      <c r="O226"/>
      <c r="R226" s="3"/>
      <c r="U226" s="2"/>
    </row>
    <row r="227" spans="1:21" ht="22.5" customHeight="1" x14ac:dyDescent="0.25">
      <c r="A227" s="8">
        <f t="shared" si="3"/>
        <v>226</v>
      </c>
      <c r="B227" s="24" t="s">
        <v>616</v>
      </c>
      <c r="C227" s="27">
        <v>42516</v>
      </c>
      <c r="D227" s="4">
        <v>40</v>
      </c>
      <c r="E227" s="4" t="s">
        <v>614</v>
      </c>
      <c r="F227" s="4" t="s">
        <v>28</v>
      </c>
      <c r="G227" s="4" t="s">
        <v>21</v>
      </c>
      <c r="H227" s="44" t="s">
        <v>620</v>
      </c>
      <c r="I227" s="5" t="s">
        <v>211</v>
      </c>
      <c r="J227" s="36" t="s">
        <v>311</v>
      </c>
      <c r="K227"/>
      <c r="L227"/>
      <c r="M227"/>
      <c r="N227"/>
      <c r="O227"/>
      <c r="R227" s="3"/>
      <c r="U227" s="2"/>
    </row>
    <row r="228" spans="1:21" ht="22.5" customHeight="1" x14ac:dyDescent="0.25">
      <c r="A228" s="8">
        <f t="shared" si="3"/>
        <v>227</v>
      </c>
      <c r="B228" s="24" t="s">
        <v>345</v>
      </c>
      <c r="C228" s="27">
        <v>42209</v>
      </c>
      <c r="D228" s="4">
        <v>49</v>
      </c>
      <c r="E228" s="4" t="s">
        <v>25</v>
      </c>
      <c r="F228" s="4" t="s">
        <v>34</v>
      </c>
      <c r="G228" s="4" t="s">
        <v>21</v>
      </c>
      <c r="H228" s="44" t="s">
        <v>620</v>
      </c>
      <c r="I228" s="5" t="s">
        <v>211</v>
      </c>
      <c r="J228" s="36" t="s">
        <v>311</v>
      </c>
      <c r="K228"/>
      <c r="L228"/>
      <c r="M228"/>
      <c r="N228"/>
      <c r="O228"/>
      <c r="R228" s="3"/>
      <c r="U228" s="2"/>
    </row>
    <row r="229" spans="1:21" ht="22.5" customHeight="1" x14ac:dyDescent="0.25">
      <c r="A229" s="8">
        <f t="shared" si="3"/>
        <v>228</v>
      </c>
      <c r="B229" s="24" t="s">
        <v>428</v>
      </c>
      <c r="C229" s="27">
        <v>42357</v>
      </c>
      <c r="D229" s="4">
        <v>32</v>
      </c>
      <c r="E229" s="4" t="s">
        <v>19</v>
      </c>
      <c r="F229" s="4" t="s">
        <v>39</v>
      </c>
      <c r="G229" s="4" t="s">
        <v>21</v>
      </c>
      <c r="H229" s="44" t="s">
        <v>621</v>
      </c>
      <c r="I229" s="5" t="s">
        <v>211</v>
      </c>
      <c r="J229" s="36" t="s">
        <v>311</v>
      </c>
      <c r="K229"/>
      <c r="L229"/>
      <c r="M229"/>
      <c r="N229"/>
      <c r="O229"/>
      <c r="R229" s="3"/>
      <c r="U229" s="2"/>
    </row>
    <row r="230" spans="1:21" ht="22.5" customHeight="1" x14ac:dyDescent="0.25">
      <c r="A230" s="8">
        <f t="shared" si="3"/>
        <v>229</v>
      </c>
      <c r="B230" s="24" t="s">
        <v>337</v>
      </c>
      <c r="C230" s="31">
        <v>42345</v>
      </c>
      <c r="D230" s="4">
        <v>25</v>
      </c>
      <c r="E230" s="4" t="s">
        <v>19</v>
      </c>
      <c r="F230" s="4" t="s">
        <v>28</v>
      </c>
      <c r="G230" s="4" t="s">
        <v>21</v>
      </c>
      <c r="H230" s="44" t="s">
        <v>621</v>
      </c>
      <c r="I230" s="5" t="s">
        <v>211</v>
      </c>
      <c r="J230" s="36" t="s">
        <v>311</v>
      </c>
      <c r="K230"/>
      <c r="L230"/>
      <c r="M230"/>
      <c r="N230"/>
      <c r="O230"/>
      <c r="R230" s="3"/>
      <c r="U230" s="2"/>
    </row>
    <row r="231" spans="1:21" ht="22.5" customHeight="1" x14ac:dyDescent="0.25">
      <c r="A231" s="8">
        <f t="shared" si="3"/>
        <v>230</v>
      </c>
      <c r="B231" s="24" t="s">
        <v>344</v>
      </c>
      <c r="C231" s="27">
        <v>41712</v>
      </c>
      <c r="D231" s="4">
        <v>56</v>
      </c>
      <c r="E231" s="4" t="s">
        <v>25</v>
      </c>
      <c r="F231" s="4" t="s">
        <v>20</v>
      </c>
      <c r="G231" s="4" t="s">
        <v>21</v>
      </c>
      <c r="H231" s="44" t="s">
        <v>620</v>
      </c>
      <c r="I231" s="5" t="s">
        <v>211</v>
      </c>
      <c r="J231" s="36" t="s">
        <v>311</v>
      </c>
      <c r="K231"/>
      <c r="L231"/>
      <c r="M231"/>
      <c r="N231"/>
      <c r="O231"/>
      <c r="R231" s="3"/>
      <c r="U231" s="2"/>
    </row>
    <row r="232" spans="1:21" ht="22.5" customHeight="1" x14ac:dyDescent="0.25">
      <c r="A232" s="8">
        <f t="shared" si="3"/>
        <v>231</v>
      </c>
      <c r="B232" s="24" t="s">
        <v>346</v>
      </c>
      <c r="C232" s="27">
        <v>41909</v>
      </c>
      <c r="D232" s="4">
        <v>40</v>
      </c>
      <c r="E232" s="4" t="s">
        <v>19</v>
      </c>
      <c r="F232" s="4" t="s">
        <v>34</v>
      </c>
      <c r="G232" s="4" t="s">
        <v>21</v>
      </c>
      <c r="H232" s="44" t="s">
        <v>622</v>
      </c>
      <c r="I232" s="5" t="s">
        <v>211</v>
      </c>
      <c r="J232" s="36" t="s">
        <v>311</v>
      </c>
      <c r="K232"/>
      <c r="L232"/>
      <c r="M232"/>
      <c r="N232"/>
      <c r="O232"/>
      <c r="R232" s="3"/>
      <c r="U232" s="2"/>
    </row>
    <row r="233" spans="1:21" ht="22.5" customHeight="1" x14ac:dyDescent="0.25">
      <c r="A233" s="8">
        <f t="shared" si="3"/>
        <v>232</v>
      </c>
      <c r="B233" s="24" t="s">
        <v>341</v>
      </c>
      <c r="C233" s="27">
        <v>41931</v>
      </c>
      <c r="D233" s="4">
        <v>46</v>
      </c>
      <c r="E233" s="4" t="s">
        <v>19</v>
      </c>
      <c r="F233" s="4" t="s">
        <v>28</v>
      </c>
      <c r="G233" s="4" t="s">
        <v>21</v>
      </c>
      <c r="H233" s="44" t="s">
        <v>621</v>
      </c>
      <c r="I233" s="5" t="s">
        <v>211</v>
      </c>
      <c r="J233" s="36" t="s">
        <v>311</v>
      </c>
      <c r="K233"/>
      <c r="L233"/>
      <c r="M233"/>
      <c r="N233"/>
      <c r="O233"/>
      <c r="R233" s="3"/>
      <c r="U233" s="2"/>
    </row>
    <row r="234" spans="1:21" ht="22.5" customHeight="1" x14ac:dyDescent="0.25">
      <c r="A234" s="8">
        <f t="shared" si="3"/>
        <v>233</v>
      </c>
      <c r="B234" s="24" t="s">
        <v>347</v>
      </c>
      <c r="C234" s="27">
        <v>41351</v>
      </c>
      <c r="D234" s="4">
        <v>43</v>
      </c>
      <c r="E234" s="4" t="s">
        <v>19</v>
      </c>
      <c r="F234" s="4" t="s">
        <v>39</v>
      </c>
      <c r="G234" s="4" t="s">
        <v>21</v>
      </c>
      <c r="H234" s="44" t="s">
        <v>622</v>
      </c>
      <c r="I234" s="5" t="s">
        <v>211</v>
      </c>
      <c r="J234" s="36" t="s">
        <v>311</v>
      </c>
      <c r="K234"/>
      <c r="L234"/>
      <c r="M234"/>
      <c r="N234"/>
      <c r="O234"/>
      <c r="R234" s="3"/>
      <c r="U234" s="2"/>
    </row>
    <row r="235" spans="1:21" ht="22.5" customHeight="1" x14ac:dyDescent="0.25">
      <c r="A235" s="8">
        <f t="shared" si="3"/>
        <v>234</v>
      </c>
      <c r="B235" s="24" t="s">
        <v>522</v>
      </c>
      <c r="C235" s="27">
        <v>41218</v>
      </c>
      <c r="D235" s="4">
        <v>40</v>
      </c>
      <c r="E235" s="4" t="s">
        <v>25</v>
      </c>
      <c r="F235" s="4" t="s">
        <v>61</v>
      </c>
      <c r="G235" s="4" t="s">
        <v>21</v>
      </c>
      <c r="H235" s="44" t="s">
        <v>622</v>
      </c>
      <c r="I235" s="5" t="s">
        <v>211</v>
      </c>
      <c r="J235" s="36" t="s">
        <v>311</v>
      </c>
      <c r="K235"/>
      <c r="L235"/>
      <c r="M235"/>
      <c r="N235"/>
      <c r="O235"/>
      <c r="R235" s="3"/>
      <c r="U235" s="2"/>
    </row>
    <row r="236" spans="1:21" ht="22.5" customHeight="1" x14ac:dyDescent="0.25">
      <c r="A236" s="8">
        <f t="shared" si="3"/>
        <v>235</v>
      </c>
      <c r="B236" s="24" t="s">
        <v>314</v>
      </c>
      <c r="C236" s="27">
        <v>40999</v>
      </c>
      <c r="D236" s="4">
        <v>42</v>
      </c>
      <c r="E236" s="4" t="s">
        <v>25</v>
      </c>
      <c r="F236" s="4" t="s">
        <v>26</v>
      </c>
      <c r="G236" s="4" t="s">
        <v>21</v>
      </c>
      <c r="H236" s="44" t="s">
        <v>620</v>
      </c>
      <c r="I236" s="5" t="s">
        <v>211</v>
      </c>
      <c r="J236" s="36" t="s">
        <v>311</v>
      </c>
      <c r="K236"/>
      <c r="L236"/>
      <c r="M236"/>
      <c r="N236"/>
      <c r="O236"/>
      <c r="R236" s="3"/>
      <c r="U236" s="2"/>
    </row>
    <row r="237" spans="1:21" ht="22.5" customHeight="1" x14ac:dyDescent="0.25">
      <c r="A237" s="8">
        <f t="shared" si="3"/>
        <v>236</v>
      </c>
      <c r="B237" s="24" t="s">
        <v>315</v>
      </c>
      <c r="C237" s="27">
        <v>41104</v>
      </c>
      <c r="D237" s="4">
        <v>85</v>
      </c>
      <c r="E237" s="4" t="s">
        <v>25</v>
      </c>
      <c r="F237" s="4" t="s">
        <v>26</v>
      </c>
      <c r="G237" s="4" t="s">
        <v>21</v>
      </c>
      <c r="H237" s="44" t="s">
        <v>620</v>
      </c>
      <c r="I237" s="5" t="s">
        <v>211</v>
      </c>
      <c r="J237" s="36" t="s">
        <v>311</v>
      </c>
      <c r="K237"/>
      <c r="L237"/>
      <c r="M237"/>
      <c r="N237"/>
      <c r="O237"/>
      <c r="R237" s="3"/>
      <c r="U237" s="2"/>
    </row>
    <row r="238" spans="1:21" ht="22.5" customHeight="1" x14ac:dyDescent="0.25">
      <c r="A238" s="8">
        <f t="shared" si="3"/>
        <v>237</v>
      </c>
      <c r="B238" s="24" t="s">
        <v>336</v>
      </c>
      <c r="C238" s="27">
        <v>40720</v>
      </c>
      <c r="D238" s="4">
        <v>62</v>
      </c>
      <c r="E238" s="4" t="s">
        <v>25</v>
      </c>
      <c r="F238" s="4" t="s">
        <v>39</v>
      </c>
      <c r="G238" s="4" t="s">
        <v>21</v>
      </c>
      <c r="H238" s="44" t="s">
        <v>621</v>
      </c>
      <c r="I238" s="5" t="s">
        <v>211</v>
      </c>
      <c r="J238" s="36" t="s">
        <v>311</v>
      </c>
      <c r="K238"/>
      <c r="L238"/>
      <c r="M238"/>
      <c r="N238"/>
      <c r="O238"/>
      <c r="R238" s="3"/>
      <c r="U238" s="2"/>
    </row>
    <row r="239" spans="1:21" ht="22.5" customHeight="1" x14ac:dyDescent="0.25">
      <c r="A239" s="8">
        <f t="shared" si="3"/>
        <v>238</v>
      </c>
      <c r="B239" s="24" t="s">
        <v>316</v>
      </c>
      <c r="C239" s="27">
        <v>40141</v>
      </c>
      <c r="D239" s="4">
        <v>48</v>
      </c>
      <c r="E239" s="4" t="s">
        <v>19</v>
      </c>
      <c r="F239" s="4" t="s">
        <v>37</v>
      </c>
      <c r="G239" s="4" t="s">
        <v>21</v>
      </c>
      <c r="H239" s="44" t="s">
        <v>621</v>
      </c>
      <c r="I239" s="5" t="s">
        <v>211</v>
      </c>
      <c r="J239" s="36" t="s">
        <v>311</v>
      </c>
      <c r="K239"/>
      <c r="L239"/>
      <c r="M239"/>
      <c r="N239"/>
      <c r="O239"/>
      <c r="R239" s="3"/>
      <c r="U239" s="2"/>
    </row>
    <row r="240" spans="1:21" ht="22.5" customHeight="1" x14ac:dyDescent="0.25">
      <c r="A240" s="8">
        <f t="shared" si="3"/>
        <v>239</v>
      </c>
      <c r="B240" s="24" t="s">
        <v>318</v>
      </c>
      <c r="C240" s="27">
        <v>39739</v>
      </c>
      <c r="D240" s="4">
        <v>63</v>
      </c>
      <c r="E240" s="4" t="s">
        <v>19</v>
      </c>
      <c r="F240" s="4" t="s">
        <v>37</v>
      </c>
      <c r="G240" s="4" t="s">
        <v>21</v>
      </c>
      <c r="H240" s="44" t="s">
        <v>620</v>
      </c>
      <c r="I240" s="5" t="s">
        <v>211</v>
      </c>
      <c r="J240" s="36" t="s">
        <v>311</v>
      </c>
      <c r="K240"/>
      <c r="L240"/>
      <c r="M240"/>
      <c r="N240"/>
      <c r="O240"/>
      <c r="R240" s="3"/>
      <c r="U240" s="2"/>
    </row>
    <row r="241" spans="1:21" ht="22.5" customHeight="1" x14ac:dyDescent="0.25">
      <c r="A241" s="8">
        <f t="shared" si="3"/>
        <v>240</v>
      </c>
      <c r="B241" s="24" t="s">
        <v>429</v>
      </c>
      <c r="C241" s="27">
        <v>39027</v>
      </c>
      <c r="D241" s="4">
        <v>65</v>
      </c>
      <c r="E241" s="4" t="s">
        <v>25</v>
      </c>
      <c r="F241" s="4" t="s">
        <v>26</v>
      </c>
      <c r="G241" s="4" t="s">
        <v>21</v>
      </c>
      <c r="H241" s="44" t="s">
        <v>622</v>
      </c>
      <c r="I241" s="5" t="s">
        <v>211</v>
      </c>
      <c r="J241" s="36" t="s">
        <v>311</v>
      </c>
      <c r="K241"/>
      <c r="L241"/>
      <c r="M241"/>
      <c r="N241"/>
      <c r="O241"/>
      <c r="R241" s="3"/>
      <c r="U241" s="2"/>
    </row>
    <row r="242" spans="1:21" ht="22.5" customHeight="1" x14ac:dyDescent="0.25">
      <c r="A242" s="8">
        <f t="shared" si="3"/>
        <v>241</v>
      </c>
      <c r="B242" s="24" t="s">
        <v>586</v>
      </c>
      <c r="C242" s="27">
        <v>38428</v>
      </c>
      <c r="D242" s="4">
        <v>68</v>
      </c>
      <c r="E242" s="4" t="s">
        <v>25</v>
      </c>
      <c r="F242" s="4" t="s">
        <v>26</v>
      </c>
      <c r="G242" s="4" t="s">
        <v>21</v>
      </c>
      <c r="H242" s="44" t="s">
        <v>621</v>
      </c>
      <c r="I242" s="5" t="s">
        <v>211</v>
      </c>
      <c r="J242" s="36" t="s">
        <v>311</v>
      </c>
      <c r="K242"/>
      <c r="L242"/>
      <c r="M242"/>
      <c r="N242"/>
      <c r="O242"/>
      <c r="R242" s="3"/>
      <c r="U242" s="2"/>
    </row>
    <row r="243" spans="1:21" ht="22.5" customHeight="1" x14ac:dyDescent="0.25">
      <c r="A243" s="8">
        <f t="shared" si="3"/>
        <v>242</v>
      </c>
      <c r="B243" s="24" t="s">
        <v>437</v>
      </c>
      <c r="C243" s="27">
        <v>41075</v>
      </c>
      <c r="D243" s="4">
        <v>39</v>
      </c>
      <c r="E243" s="4" t="s">
        <v>19</v>
      </c>
      <c r="F243" s="4" t="s">
        <v>39</v>
      </c>
      <c r="G243" s="4" t="s">
        <v>21</v>
      </c>
      <c r="H243" s="44" t="s">
        <v>622</v>
      </c>
      <c r="I243" s="5" t="s">
        <v>211</v>
      </c>
      <c r="J243" s="36" t="s">
        <v>432</v>
      </c>
      <c r="K243"/>
      <c r="L243"/>
      <c r="M243"/>
      <c r="N243"/>
      <c r="O243"/>
      <c r="R243" s="3"/>
      <c r="U243" s="2"/>
    </row>
    <row r="244" spans="1:21" ht="22.5" customHeight="1" x14ac:dyDescent="0.25">
      <c r="A244" s="8">
        <f t="shared" si="3"/>
        <v>243</v>
      </c>
      <c r="B244" s="24" t="s">
        <v>438</v>
      </c>
      <c r="C244" s="27">
        <v>40710</v>
      </c>
      <c r="D244" s="4">
        <v>39</v>
      </c>
      <c r="E244" s="4" t="s">
        <v>19</v>
      </c>
      <c r="F244" s="4" t="s">
        <v>39</v>
      </c>
      <c r="G244" s="4" t="s">
        <v>21</v>
      </c>
      <c r="H244" s="44" t="s">
        <v>622</v>
      </c>
      <c r="I244" s="5" t="s">
        <v>211</v>
      </c>
      <c r="J244" s="36" t="s">
        <v>432</v>
      </c>
      <c r="K244"/>
      <c r="L244"/>
      <c r="M244"/>
      <c r="N244"/>
      <c r="O244"/>
      <c r="R244" s="3"/>
      <c r="U244" s="2"/>
    </row>
    <row r="245" spans="1:21" ht="22.5" customHeight="1" x14ac:dyDescent="0.25">
      <c r="A245" s="8">
        <f t="shared" si="3"/>
        <v>244</v>
      </c>
      <c r="B245" s="24" t="s">
        <v>443</v>
      </c>
      <c r="C245" s="27">
        <v>40591</v>
      </c>
      <c r="D245" s="4">
        <v>43</v>
      </c>
      <c r="E245" s="4" t="s">
        <v>19</v>
      </c>
      <c r="F245" s="4" t="s">
        <v>39</v>
      </c>
      <c r="G245" s="4" t="s">
        <v>21</v>
      </c>
      <c r="H245" s="44" t="s">
        <v>620</v>
      </c>
      <c r="I245" s="5" t="s">
        <v>211</v>
      </c>
      <c r="J245" s="36" t="s">
        <v>432</v>
      </c>
      <c r="K245"/>
      <c r="L245"/>
      <c r="M245"/>
      <c r="N245"/>
      <c r="O245"/>
      <c r="R245" s="3"/>
      <c r="U245" s="2"/>
    </row>
    <row r="246" spans="1:21" ht="22.5" customHeight="1" x14ac:dyDescent="0.25">
      <c r="A246" s="8">
        <f t="shared" si="3"/>
        <v>245</v>
      </c>
      <c r="B246" s="24" t="s">
        <v>439</v>
      </c>
      <c r="C246" s="27">
        <v>40711</v>
      </c>
      <c r="D246" s="4">
        <v>50</v>
      </c>
      <c r="E246" s="4" t="s">
        <v>19</v>
      </c>
      <c r="F246" s="4" t="s">
        <v>39</v>
      </c>
      <c r="G246" s="4" t="s">
        <v>21</v>
      </c>
      <c r="H246" s="44" t="s">
        <v>620</v>
      </c>
      <c r="I246" s="5" t="s">
        <v>211</v>
      </c>
      <c r="J246" s="36" t="s">
        <v>432</v>
      </c>
      <c r="K246"/>
      <c r="L246"/>
      <c r="M246"/>
      <c r="N246"/>
      <c r="O246"/>
      <c r="R246" s="3"/>
      <c r="U246" s="2"/>
    </row>
    <row r="247" spans="1:21" ht="22.5" customHeight="1" x14ac:dyDescent="0.25">
      <c r="A247" s="8">
        <f t="shared" si="3"/>
        <v>246</v>
      </c>
      <c r="B247" s="24" t="s">
        <v>436</v>
      </c>
      <c r="C247" s="27">
        <v>39773</v>
      </c>
      <c r="D247" s="4">
        <v>42</v>
      </c>
      <c r="E247" s="4" t="s">
        <v>19</v>
      </c>
      <c r="F247" s="4" t="s">
        <v>20</v>
      </c>
      <c r="G247" s="4" t="s">
        <v>21</v>
      </c>
      <c r="H247" s="44" t="s">
        <v>621</v>
      </c>
      <c r="I247" s="5" t="s">
        <v>211</v>
      </c>
      <c r="J247" s="36" t="s">
        <v>432</v>
      </c>
      <c r="K247"/>
      <c r="L247"/>
      <c r="M247"/>
      <c r="N247"/>
      <c r="O247"/>
      <c r="R247" s="3"/>
      <c r="U247" s="2"/>
    </row>
    <row r="248" spans="1:21" ht="22.5" customHeight="1" x14ac:dyDescent="0.25">
      <c r="A248" s="8">
        <f t="shared" si="3"/>
        <v>247</v>
      </c>
      <c r="B248" s="24" t="s">
        <v>434</v>
      </c>
      <c r="C248" s="27">
        <v>39748</v>
      </c>
      <c r="D248" s="4">
        <v>53</v>
      </c>
      <c r="E248" s="4" t="s">
        <v>19</v>
      </c>
      <c r="F248" s="4" t="s">
        <v>34</v>
      </c>
      <c r="G248" s="4" t="s">
        <v>21</v>
      </c>
      <c r="H248" s="44" t="s">
        <v>621</v>
      </c>
      <c r="I248" s="5" t="s">
        <v>211</v>
      </c>
      <c r="J248" s="36" t="s">
        <v>432</v>
      </c>
      <c r="K248"/>
      <c r="L248"/>
      <c r="M248"/>
      <c r="N248"/>
      <c r="O248"/>
      <c r="R248" s="3"/>
      <c r="U248" s="2"/>
    </row>
    <row r="249" spans="1:21" ht="22.5" customHeight="1" x14ac:dyDescent="0.25">
      <c r="A249" s="8">
        <f t="shared" si="3"/>
        <v>248</v>
      </c>
      <c r="B249" s="24" t="s">
        <v>433</v>
      </c>
      <c r="C249" s="27">
        <v>39676</v>
      </c>
      <c r="D249" s="4">
        <v>58</v>
      </c>
      <c r="E249" s="4" t="s">
        <v>19</v>
      </c>
      <c r="F249" s="4" t="s">
        <v>34</v>
      </c>
      <c r="G249" s="4" t="s">
        <v>21</v>
      </c>
      <c r="H249" s="44" t="s">
        <v>620</v>
      </c>
      <c r="I249" s="5" t="s">
        <v>211</v>
      </c>
      <c r="J249" s="36" t="s">
        <v>432</v>
      </c>
      <c r="K249"/>
      <c r="L249"/>
      <c r="M249"/>
      <c r="N249"/>
      <c r="O249"/>
      <c r="R249" s="3"/>
      <c r="U249" s="2"/>
    </row>
    <row r="250" spans="1:21" ht="22.5" customHeight="1" x14ac:dyDescent="0.25">
      <c r="A250" s="8">
        <f t="shared" si="3"/>
        <v>249</v>
      </c>
      <c r="B250" s="24" t="s">
        <v>435</v>
      </c>
      <c r="C250" s="27">
        <v>39581</v>
      </c>
      <c r="D250" s="4">
        <v>59</v>
      </c>
      <c r="E250" s="4" t="s">
        <v>19</v>
      </c>
      <c r="F250" s="4" t="s">
        <v>34</v>
      </c>
      <c r="G250" s="4" t="s">
        <v>21</v>
      </c>
      <c r="H250" s="44" t="s">
        <v>622</v>
      </c>
      <c r="I250" s="5" t="s">
        <v>211</v>
      </c>
      <c r="J250" s="36" t="s">
        <v>432</v>
      </c>
      <c r="K250"/>
      <c r="L250"/>
      <c r="M250"/>
      <c r="N250"/>
      <c r="O250"/>
      <c r="R250" s="3"/>
      <c r="U250" s="2"/>
    </row>
    <row r="251" spans="1:21" ht="22.5" customHeight="1" x14ac:dyDescent="0.25">
      <c r="A251" s="8">
        <f t="shared" si="3"/>
        <v>250</v>
      </c>
      <c r="B251" s="24" t="s">
        <v>431</v>
      </c>
      <c r="C251" s="27">
        <v>38967</v>
      </c>
      <c r="D251" s="4">
        <v>63</v>
      </c>
      <c r="E251" s="4" t="s">
        <v>19</v>
      </c>
      <c r="F251" s="4" t="s">
        <v>61</v>
      </c>
      <c r="G251" s="4" t="s">
        <v>21</v>
      </c>
      <c r="H251" s="44" t="s">
        <v>621</v>
      </c>
      <c r="I251" s="5" t="s">
        <v>211</v>
      </c>
      <c r="J251" s="36" t="s">
        <v>432</v>
      </c>
      <c r="K251"/>
      <c r="L251"/>
      <c r="M251"/>
      <c r="N251"/>
      <c r="O251"/>
      <c r="R251" s="3"/>
      <c r="U251" s="2"/>
    </row>
    <row r="252" spans="1:21" ht="22.5" customHeight="1" x14ac:dyDescent="0.25">
      <c r="A252" s="8">
        <f t="shared" si="3"/>
        <v>251</v>
      </c>
      <c r="B252" s="24" t="s">
        <v>57</v>
      </c>
      <c r="C252" s="27">
        <v>43912</v>
      </c>
      <c r="D252" s="4">
        <v>22</v>
      </c>
      <c r="E252" s="4" t="s">
        <v>25</v>
      </c>
      <c r="F252" s="4" t="s">
        <v>28</v>
      </c>
      <c r="G252" s="4" t="s">
        <v>21</v>
      </c>
      <c r="H252" s="44" t="s">
        <v>622</v>
      </c>
      <c r="I252" s="5" t="s">
        <v>22</v>
      </c>
      <c r="J252" s="36" t="s">
        <v>23</v>
      </c>
      <c r="K252"/>
      <c r="L252"/>
      <c r="M252"/>
      <c r="N252"/>
      <c r="O252"/>
      <c r="R252" s="3"/>
      <c r="U252" s="2"/>
    </row>
    <row r="253" spans="1:21" ht="22.5" customHeight="1" x14ac:dyDescent="0.25">
      <c r="A253" s="8">
        <f t="shared" si="3"/>
        <v>252</v>
      </c>
      <c r="B253" s="24" t="s">
        <v>99</v>
      </c>
      <c r="C253" s="27">
        <v>43586</v>
      </c>
      <c r="D253" s="4">
        <v>20</v>
      </c>
      <c r="E253" s="4" t="s">
        <v>19</v>
      </c>
      <c r="F253" s="4" t="s">
        <v>28</v>
      </c>
      <c r="G253" s="4" t="s">
        <v>21</v>
      </c>
      <c r="H253" s="44" t="s">
        <v>622</v>
      </c>
      <c r="I253" s="5" t="s">
        <v>22</v>
      </c>
      <c r="J253" s="36" t="s">
        <v>23</v>
      </c>
      <c r="K253"/>
      <c r="L253"/>
      <c r="M253"/>
      <c r="N253"/>
      <c r="O253"/>
      <c r="R253" s="3"/>
      <c r="U253" s="2"/>
    </row>
    <row r="254" spans="1:21" ht="22.5" customHeight="1" x14ac:dyDescent="0.25">
      <c r="A254" s="8">
        <f t="shared" si="3"/>
        <v>253</v>
      </c>
      <c r="B254" s="24" t="s">
        <v>110</v>
      </c>
      <c r="C254" s="27">
        <v>43719</v>
      </c>
      <c r="D254" s="4">
        <v>24</v>
      </c>
      <c r="E254" s="4" t="s">
        <v>19</v>
      </c>
      <c r="F254" s="4" t="s">
        <v>20</v>
      </c>
      <c r="G254" s="4" t="s">
        <v>21</v>
      </c>
      <c r="H254" s="44" t="s">
        <v>620</v>
      </c>
      <c r="I254" s="5" t="s">
        <v>22</v>
      </c>
      <c r="J254" s="36" t="s">
        <v>23</v>
      </c>
      <c r="K254"/>
      <c r="L254"/>
      <c r="M254"/>
      <c r="N254"/>
      <c r="O254"/>
      <c r="R254" s="3"/>
      <c r="U254" s="2"/>
    </row>
    <row r="255" spans="1:21" ht="22.5" customHeight="1" x14ac:dyDescent="0.25">
      <c r="A255" s="8">
        <f t="shared" si="3"/>
        <v>254</v>
      </c>
      <c r="B255" s="24" t="s">
        <v>62</v>
      </c>
      <c r="C255" s="27">
        <v>43696</v>
      </c>
      <c r="D255" s="4">
        <v>27</v>
      </c>
      <c r="E255" s="4" t="s">
        <v>19</v>
      </c>
      <c r="F255" s="4" t="s">
        <v>39</v>
      </c>
      <c r="G255" s="4" t="s">
        <v>21</v>
      </c>
      <c r="H255" s="44" t="s">
        <v>620</v>
      </c>
      <c r="I255" s="5" t="s">
        <v>22</v>
      </c>
      <c r="J255" s="36" t="s">
        <v>23</v>
      </c>
      <c r="K255"/>
      <c r="L255"/>
      <c r="M255"/>
      <c r="N255"/>
      <c r="O255"/>
      <c r="R255" s="3"/>
      <c r="U255" s="2"/>
    </row>
    <row r="256" spans="1:21" ht="22.5" customHeight="1" x14ac:dyDescent="0.25">
      <c r="A256" s="8">
        <f t="shared" si="3"/>
        <v>255</v>
      </c>
      <c r="B256" s="24" t="s">
        <v>84</v>
      </c>
      <c r="C256" s="27">
        <v>43118</v>
      </c>
      <c r="D256" s="4">
        <v>34</v>
      </c>
      <c r="E256" s="4" t="s">
        <v>25</v>
      </c>
      <c r="F256" s="4" t="s">
        <v>28</v>
      </c>
      <c r="G256" s="4" t="s">
        <v>21</v>
      </c>
      <c r="H256" s="44" t="s">
        <v>621</v>
      </c>
      <c r="I256" s="5" t="s">
        <v>22</v>
      </c>
      <c r="J256" s="36" t="s">
        <v>23</v>
      </c>
      <c r="K256"/>
      <c r="L256"/>
      <c r="M256"/>
      <c r="N256"/>
      <c r="O256"/>
      <c r="R256" s="3"/>
      <c r="U256" s="2"/>
    </row>
    <row r="257" spans="1:21" ht="22.5" customHeight="1" x14ac:dyDescent="0.25">
      <c r="A257" s="8">
        <f t="shared" si="3"/>
        <v>256</v>
      </c>
      <c r="B257" s="24" t="s">
        <v>185</v>
      </c>
      <c r="C257" s="27">
        <v>43351</v>
      </c>
      <c r="D257" s="4">
        <v>18</v>
      </c>
      <c r="E257" s="4" t="s">
        <v>19</v>
      </c>
      <c r="F257" s="4" t="s">
        <v>28</v>
      </c>
      <c r="G257" s="4" t="s">
        <v>21</v>
      </c>
      <c r="H257" s="44" t="s">
        <v>621</v>
      </c>
      <c r="I257" s="5" t="s">
        <v>22</v>
      </c>
      <c r="J257" s="36" t="s">
        <v>23</v>
      </c>
      <c r="K257"/>
      <c r="L257"/>
      <c r="M257"/>
      <c r="N257"/>
      <c r="O257"/>
      <c r="R257" s="3"/>
      <c r="U257" s="2"/>
    </row>
    <row r="258" spans="1:21" ht="22.5" customHeight="1" x14ac:dyDescent="0.25">
      <c r="A258" s="8">
        <f t="shared" si="3"/>
        <v>257</v>
      </c>
      <c r="B258" s="24" t="s">
        <v>82</v>
      </c>
      <c r="C258" s="27">
        <v>43394</v>
      </c>
      <c r="D258" s="4">
        <v>23</v>
      </c>
      <c r="E258" s="4" t="s">
        <v>19</v>
      </c>
      <c r="F258" s="4" t="s">
        <v>28</v>
      </c>
      <c r="G258" s="4" t="s">
        <v>21</v>
      </c>
      <c r="H258" s="44" t="s">
        <v>620</v>
      </c>
      <c r="I258" s="5" t="s">
        <v>22</v>
      </c>
      <c r="J258" s="36" t="s">
        <v>23</v>
      </c>
      <c r="K258"/>
      <c r="L258"/>
      <c r="M258"/>
      <c r="N258"/>
      <c r="O258"/>
      <c r="R258" s="3"/>
      <c r="U258" s="2"/>
    </row>
    <row r="259" spans="1:21" ht="22.5" customHeight="1" x14ac:dyDescent="0.25">
      <c r="A259" s="8">
        <f t="shared" ref="A259:A322" si="4">A258+1</f>
        <v>258</v>
      </c>
      <c r="B259" s="24" t="s">
        <v>66</v>
      </c>
      <c r="C259" s="27">
        <v>43110</v>
      </c>
      <c r="D259" s="4">
        <v>37</v>
      </c>
      <c r="E259" s="4" t="s">
        <v>19</v>
      </c>
      <c r="F259" s="4" t="s">
        <v>28</v>
      </c>
      <c r="G259" s="4" t="s">
        <v>21</v>
      </c>
      <c r="H259" s="44" t="s">
        <v>622</v>
      </c>
      <c r="I259" s="5" t="s">
        <v>22</v>
      </c>
      <c r="J259" s="36" t="s">
        <v>23</v>
      </c>
      <c r="K259"/>
      <c r="L259"/>
      <c r="M259"/>
      <c r="N259"/>
      <c r="O259"/>
      <c r="R259" s="3"/>
      <c r="U259" s="2"/>
    </row>
    <row r="260" spans="1:21" ht="22.5" customHeight="1" x14ac:dyDescent="0.25">
      <c r="A260" s="8">
        <f t="shared" si="4"/>
        <v>259</v>
      </c>
      <c r="B260" s="24" t="s">
        <v>101</v>
      </c>
      <c r="C260" s="27">
        <v>42739</v>
      </c>
      <c r="D260" s="4">
        <v>20</v>
      </c>
      <c r="E260" s="4" t="s">
        <v>25</v>
      </c>
      <c r="F260" s="4" t="s">
        <v>28</v>
      </c>
      <c r="G260" s="4" t="s">
        <v>21</v>
      </c>
      <c r="H260" s="44" t="s">
        <v>621</v>
      </c>
      <c r="I260" s="5" t="s">
        <v>22</v>
      </c>
      <c r="J260" s="36" t="s">
        <v>23</v>
      </c>
      <c r="K260"/>
      <c r="L260"/>
      <c r="M260"/>
      <c r="N260"/>
      <c r="O260"/>
      <c r="R260" s="3"/>
      <c r="U260" s="2"/>
    </row>
    <row r="261" spans="1:21" ht="22.5" customHeight="1" x14ac:dyDescent="0.25">
      <c r="A261" s="8">
        <f t="shared" si="4"/>
        <v>260</v>
      </c>
      <c r="B261" s="24" t="s">
        <v>525</v>
      </c>
      <c r="C261" s="27">
        <v>42988</v>
      </c>
      <c r="D261" s="4">
        <v>23</v>
      </c>
      <c r="E261" s="4" t="s">
        <v>25</v>
      </c>
      <c r="F261" s="4" t="s">
        <v>28</v>
      </c>
      <c r="G261" s="4" t="s">
        <v>21</v>
      </c>
      <c r="H261" s="44" t="s">
        <v>622</v>
      </c>
      <c r="I261" s="5" t="s">
        <v>22</v>
      </c>
      <c r="J261" s="36" t="s">
        <v>23</v>
      </c>
      <c r="K261"/>
      <c r="L261"/>
      <c r="M261"/>
      <c r="N261"/>
      <c r="O261"/>
      <c r="R261" s="3"/>
      <c r="U261" s="2"/>
    </row>
    <row r="262" spans="1:21" ht="22.5" customHeight="1" x14ac:dyDescent="0.25">
      <c r="A262" s="8">
        <f t="shared" si="4"/>
        <v>261</v>
      </c>
      <c r="B262" s="24" t="s">
        <v>113</v>
      </c>
      <c r="C262" s="27">
        <v>42990</v>
      </c>
      <c r="D262" s="4">
        <v>25</v>
      </c>
      <c r="E262" s="4" t="s">
        <v>25</v>
      </c>
      <c r="F262" s="4" t="s">
        <v>39</v>
      </c>
      <c r="G262" s="4" t="s">
        <v>21</v>
      </c>
      <c r="H262" s="44" t="s">
        <v>622</v>
      </c>
      <c r="I262" s="5" t="s">
        <v>22</v>
      </c>
      <c r="J262" s="36" t="s">
        <v>23</v>
      </c>
      <c r="K262"/>
      <c r="L262"/>
      <c r="M262"/>
      <c r="N262"/>
      <c r="O262"/>
      <c r="R262" s="3"/>
      <c r="U262" s="2"/>
    </row>
    <row r="263" spans="1:21" ht="22.5" customHeight="1" x14ac:dyDescent="0.25">
      <c r="A263" s="8">
        <f t="shared" si="4"/>
        <v>262</v>
      </c>
      <c r="B263" s="24" t="s">
        <v>114</v>
      </c>
      <c r="C263" s="27">
        <v>42779</v>
      </c>
      <c r="D263" s="4">
        <v>25</v>
      </c>
      <c r="E263" s="4" t="s">
        <v>25</v>
      </c>
      <c r="F263" s="4" t="s">
        <v>42</v>
      </c>
      <c r="G263" s="4" t="s">
        <v>21</v>
      </c>
      <c r="H263" s="44" t="s">
        <v>620</v>
      </c>
      <c r="I263" s="5" t="s">
        <v>22</v>
      </c>
      <c r="J263" s="36" t="s">
        <v>23</v>
      </c>
      <c r="K263"/>
      <c r="L263"/>
      <c r="M263"/>
      <c r="N263"/>
      <c r="O263"/>
      <c r="R263" s="3"/>
      <c r="U263" s="2"/>
    </row>
    <row r="264" spans="1:21" ht="22.5" customHeight="1" x14ac:dyDescent="0.25">
      <c r="A264" s="8">
        <f t="shared" si="4"/>
        <v>263</v>
      </c>
      <c r="B264" s="24" t="s">
        <v>141</v>
      </c>
      <c r="C264" s="27">
        <v>43077</v>
      </c>
      <c r="D264" s="4">
        <v>35</v>
      </c>
      <c r="E264" s="4" t="s">
        <v>25</v>
      </c>
      <c r="F264" s="4" t="s">
        <v>28</v>
      </c>
      <c r="G264" s="4" t="s">
        <v>21</v>
      </c>
      <c r="H264" s="44" t="s">
        <v>620</v>
      </c>
      <c r="I264" s="5" t="s">
        <v>22</v>
      </c>
      <c r="J264" s="36" t="s">
        <v>23</v>
      </c>
      <c r="K264"/>
      <c r="L264"/>
      <c r="M264"/>
      <c r="N264"/>
      <c r="O264"/>
      <c r="R264" s="3"/>
      <c r="U264" s="2"/>
    </row>
    <row r="265" spans="1:21" ht="22.5" customHeight="1" x14ac:dyDescent="0.25">
      <c r="A265" s="8">
        <f t="shared" si="4"/>
        <v>264</v>
      </c>
      <c r="B265" s="24" t="s">
        <v>109</v>
      </c>
      <c r="C265" s="27">
        <v>43020</v>
      </c>
      <c r="D265" s="4">
        <v>41</v>
      </c>
      <c r="E265" s="4" t="s">
        <v>25</v>
      </c>
      <c r="F265" s="4" t="s">
        <v>39</v>
      </c>
      <c r="G265" s="4" t="s">
        <v>21</v>
      </c>
      <c r="H265" s="44" t="s">
        <v>621</v>
      </c>
      <c r="I265" s="5" t="s">
        <v>22</v>
      </c>
      <c r="J265" s="36" t="s">
        <v>23</v>
      </c>
      <c r="K265"/>
      <c r="L265"/>
      <c r="M265"/>
      <c r="N265"/>
      <c r="O265"/>
      <c r="R265" s="3"/>
      <c r="U265" s="2"/>
    </row>
    <row r="266" spans="1:21" ht="22.5" customHeight="1" x14ac:dyDescent="0.25">
      <c r="A266" s="8">
        <f t="shared" si="4"/>
        <v>265</v>
      </c>
      <c r="B266" s="24" t="s">
        <v>104</v>
      </c>
      <c r="C266" s="27">
        <v>43075</v>
      </c>
      <c r="D266" s="4">
        <v>35</v>
      </c>
      <c r="E266" s="4" t="s">
        <v>19</v>
      </c>
      <c r="F266" s="4" t="s">
        <v>42</v>
      </c>
      <c r="G266" s="4" t="s">
        <v>21</v>
      </c>
      <c r="H266" s="44" t="s">
        <v>621</v>
      </c>
      <c r="I266" s="5" t="s">
        <v>22</v>
      </c>
      <c r="J266" s="36" t="s">
        <v>23</v>
      </c>
      <c r="K266"/>
      <c r="L266"/>
      <c r="M266"/>
      <c r="N266"/>
      <c r="O266"/>
      <c r="R266" s="3"/>
      <c r="U266" s="2"/>
    </row>
    <row r="267" spans="1:21" ht="22.5" customHeight="1" x14ac:dyDescent="0.25">
      <c r="A267" s="8">
        <f t="shared" si="4"/>
        <v>266</v>
      </c>
      <c r="B267" s="24" t="s">
        <v>88</v>
      </c>
      <c r="C267" s="27">
        <v>42852</v>
      </c>
      <c r="D267" s="4">
        <v>36</v>
      </c>
      <c r="E267" s="4" t="s">
        <v>19</v>
      </c>
      <c r="F267" s="4" t="s">
        <v>50</v>
      </c>
      <c r="G267" s="4" t="s">
        <v>45</v>
      </c>
      <c r="H267" s="44" t="s">
        <v>620</v>
      </c>
      <c r="I267" s="5" t="s">
        <v>22</v>
      </c>
      <c r="J267" s="36" t="s">
        <v>23</v>
      </c>
      <c r="K267"/>
      <c r="L267"/>
      <c r="M267"/>
      <c r="N267"/>
      <c r="O267"/>
      <c r="R267" s="3"/>
      <c r="U267" s="2"/>
    </row>
    <row r="268" spans="1:21" ht="22.5" customHeight="1" x14ac:dyDescent="0.25">
      <c r="A268" s="8">
        <f t="shared" si="4"/>
        <v>267</v>
      </c>
      <c r="B268" s="24" t="s">
        <v>75</v>
      </c>
      <c r="C268" s="27">
        <v>42925</v>
      </c>
      <c r="D268" s="4">
        <v>42</v>
      </c>
      <c r="E268" s="4" t="s">
        <v>19</v>
      </c>
      <c r="F268" s="4" t="s">
        <v>50</v>
      </c>
      <c r="G268" s="4" t="s">
        <v>21</v>
      </c>
      <c r="H268" s="44" t="s">
        <v>622</v>
      </c>
      <c r="I268" s="5" t="s">
        <v>22</v>
      </c>
      <c r="J268" s="36" t="s">
        <v>23</v>
      </c>
      <c r="K268"/>
      <c r="L268"/>
      <c r="M268"/>
      <c r="N268"/>
      <c r="O268"/>
      <c r="R268" s="3"/>
      <c r="U268" s="2"/>
    </row>
    <row r="269" spans="1:21" ht="22.5" customHeight="1" x14ac:dyDescent="0.25">
      <c r="A269" s="8">
        <f t="shared" si="4"/>
        <v>268</v>
      </c>
      <c r="B269" s="24" t="s">
        <v>80</v>
      </c>
      <c r="C269" s="27">
        <v>42366</v>
      </c>
      <c r="D269" s="4">
        <v>25</v>
      </c>
      <c r="E269" s="4" t="s">
        <v>25</v>
      </c>
      <c r="F269" s="4" t="s">
        <v>34</v>
      </c>
      <c r="G269" s="4" t="s">
        <v>21</v>
      </c>
      <c r="H269" s="44" t="s">
        <v>621</v>
      </c>
      <c r="I269" s="5" t="s">
        <v>22</v>
      </c>
      <c r="J269" s="36" t="s">
        <v>23</v>
      </c>
      <c r="K269"/>
      <c r="L269"/>
      <c r="M269"/>
      <c r="N269"/>
      <c r="O269"/>
      <c r="R269" s="3"/>
      <c r="U269" s="2"/>
    </row>
    <row r="270" spans="1:21" ht="22.5" customHeight="1" x14ac:dyDescent="0.25">
      <c r="A270" s="8">
        <f t="shared" si="4"/>
        <v>269</v>
      </c>
      <c r="B270" s="24" t="s">
        <v>182</v>
      </c>
      <c r="C270" s="27">
        <v>42712</v>
      </c>
      <c r="D270" s="4">
        <v>25</v>
      </c>
      <c r="E270" s="4" t="s">
        <v>25</v>
      </c>
      <c r="F270" s="4" t="s">
        <v>50</v>
      </c>
      <c r="G270" s="4" t="s">
        <v>21</v>
      </c>
      <c r="H270" s="44" t="s">
        <v>622</v>
      </c>
      <c r="I270" s="5" t="s">
        <v>22</v>
      </c>
      <c r="J270" s="36" t="s">
        <v>23</v>
      </c>
      <c r="K270"/>
      <c r="L270"/>
      <c r="M270"/>
      <c r="N270"/>
      <c r="O270"/>
      <c r="R270" s="3"/>
      <c r="U270" s="2"/>
    </row>
    <row r="271" spans="1:21" ht="22.5" customHeight="1" x14ac:dyDescent="0.25">
      <c r="A271" s="8">
        <f t="shared" si="4"/>
        <v>270</v>
      </c>
      <c r="B271" s="24" t="s">
        <v>102</v>
      </c>
      <c r="C271" s="27">
        <v>42684</v>
      </c>
      <c r="D271" s="4">
        <v>20</v>
      </c>
      <c r="E271" s="4" t="s">
        <v>19</v>
      </c>
      <c r="F271" s="4" t="s">
        <v>28</v>
      </c>
      <c r="G271" s="4" t="s">
        <v>21</v>
      </c>
      <c r="H271" s="44" t="s">
        <v>622</v>
      </c>
      <c r="I271" s="5" t="s">
        <v>22</v>
      </c>
      <c r="J271" s="36" t="s">
        <v>23</v>
      </c>
      <c r="K271"/>
      <c r="L271"/>
      <c r="M271"/>
      <c r="N271"/>
      <c r="O271"/>
      <c r="R271" s="3"/>
      <c r="U271" s="2"/>
    </row>
    <row r="272" spans="1:21" ht="22.5" customHeight="1" x14ac:dyDescent="0.25">
      <c r="A272" s="8">
        <f t="shared" si="4"/>
        <v>271</v>
      </c>
      <c r="B272" s="24" t="s">
        <v>55</v>
      </c>
      <c r="C272" s="27">
        <v>42654</v>
      </c>
      <c r="D272" s="4">
        <v>29</v>
      </c>
      <c r="E272" s="4" t="s">
        <v>19</v>
      </c>
      <c r="F272" s="4" t="s">
        <v>28</v>
      </c>
      <c r="G272" s="4" t="s">
        <v>21</v>
      </c>
      <c r="H272" s="44" t="s">
        <v>620</v>
      </c>
      <c r="I272" s="5" t="s">
        <v>22</v>
      </c>
      <c r="J272" s="36" t="s">
        <v>23</v>
      </c>
      <c r="K272"/>
      <c r="L272"/>
      <c r="M272"/>
      <c r="N272"/>
      <c r="O272"/>
      <c r="R272" s="3"/>
      <c r="U272" s="2"/>
    </row>
    <row r="273" spans="1:30" ht="22.5" customHeight="1" x14ac:dyDescent="0.25">
      <c r="A273" s="8">
        <f t="shared" si="4"/>
        <v>272</v>
      </c>
      <c r="B273" s="24" t="s">
        <v>115</v>
      </c>
      <c r="C273" s="27">
        <v>42423</v>
      </c>
      <c r="D273" s="4">
        <v>30</v>
      </c>
      <c r="E273" s="4" t="s">
        <v>19</v>
      </c>
      <c r="F273" s="4" t="s">
        <v>42</v>
      </c>
      <c r="G273" s="4" t="s">
        <v>21</v>
      </c>
      <c r="H273" s="44" t="s">
        <v>620</v>
      </c>
      <c r="I273" s="5" t="s">
        <v>22</v>
      </c>
      <c r="J273" s="36" t="s">
        <v>23</v>
      </c>
      <c r="K273"/>
      <c r="L273"/>
      <c r="M273"/>
      <c r="N273"/>
      <c r="O273"/>
      <c r="R273" s="3"/>
      <c r="U273" s="2"/>
    </row>
    <row r="274" spans="1:30" ht="22.5" customHeight="1" x14ac:dyDescent="0.25">
      <c r="A274" s="8">
        <f t="shared" si="4"/>
        <v>273</v>
      </c>
      <c r="B274" s="24" t="s">
        <v>18</v>
      </c>
      <c r="C274" s="27">
        <v>42670</v>
      </c>
      <c r="D274" s="4">
        <v>32</v>
      </c>
      <c r="E274" s="4" t="s">
        <v>19</v>
      </c>
      <c r="F274" s="4" t="s">
        <v>20</v>
      </c>
      <c r="G274" s="4" t="s">
        <v>21</v>
      </c>
      <c r="H274" s="44" t="s">
        <v>621</v>
      </c>
      <c r="I274" s="5" t="s">
        <v>22</v>
      </c>
      <c r="J274" s="36" t="s">
        <v>23</v>
      </c>
      <c r="K274"/>
      <c r="L274"/>
      <c r="M274"/>
      <c r="N274"/>
      <c r="O274"/>
      <c r="R274" s="3"/>
      <c r="U274" s="2"/>
    </row>
    <row r="275" spans="1:30" ht="22.5" customHeight="1" x14ac:dyDescent="0.25">
      <c r="A275" s="8">
        <f t="shared" si="4"/>
        <v>274</v>
      </c>
      <c r="B275" s="24" t="s">
        <v>78</v>
      </c>
      <c r="C275" s="27">
        <v>42615</v>
      </c>
      <c r="D275" s="4">
        <v>34</v>
      </c>
      <c r="E275" s="4" t="s">
        <v>19</v>
      </c>
      <c r="F275" s="4" t="s">
        <v>50</v>
      </c>
      <c r="G275" s="4" t="s">
        <v>21</v>
      </c>
      <c r="H275" s="44" t="s">
        <v>621</v>
      </c>
      <c r="I275" s="5" t="s">
        <v>22</v>
      </c>
      <c r="J275" s="36" t="s">
        <v>23</v>
      </c>
      <c r="K275"/>
      <c r="L275"/>
      <c r="M275"/>
      <c r="N275"/>
      <c r="O275"/>
      <c r="R275" s="3"/>
      <c r="U275" s="2"/>
    </row>
    <row r="276" spans="1:30" ht="22.5" customHeight="1" x14ac:dyDescent="0.25">
      <c r="A276" s="8">
        <f t="shared" si="4"/>
        <v>275</v>
      </c>
      <c r="B276" s="24" t="s">
        <v>105</v>
      </c>
      <c r="C276" s="27">
        <v>42391</v>
      </c>
      <c r="D276" s="4">
        <v>38</v>
      </c>
      <c r="E276" s="4" t="s">
        <v>19</v>
      </c>
      <c r="F276" s="4" t="s">
        <v>20</v>
      </c>
      <c r="G276" s="4" t="s">
        <v>21</v>
      </c>
      <c r="H276" s="44" t="s">
        <v>620</v>
      </c>
      <c r="I276" s="5" t="s">
        <v>22</v>
      </c>
      <c r="J276" s="36" t="s">
        <v>23</v>
      </c>
      <c r="K276"/>
      <c r="L276"/>
      <c r="M276"/>
      <c r="N276"/>
      <c r="O276"/>
      <c r="R276" s="3"/>
      <c r="U276" s="2"/>
    </row>
    <row r="277" spans="1:30" ht="22.5" customHeight="1" x14ac:dyDescent="0.25">
      <c r="A277" s="8">
        <f t="shared" si="4"/>
        <v>276</v>
      </c>
      <c r="B277" s="24" t="s">
        <v>106</v>
      </c>
      <c r="C277" s="27">
        <v>42413</v>
      </c>
      <c r="D277" s="4">
        <v>40</v>
      </c>
      <c r="E277" s="4" t="s">
        <v>19</v>
      </c>
      <c r="F277" s="4" t="s">
        <v>42</v>
      </c>
      <c r="G277" s="4" t="s">
        <v>21</v>
      </c>
      <c r="H277" s="44" t="s">
        <v>622</v>
      </c>
      <c r="I277" s="5" t="s">
        <v>22</v>
      </c>
      <c r="J277" s="36" t="s">
        <v>23</v>
      </c>
      <c r="K277"/>
      <c r="L277"/>
      <c r="M277"/>
      <c r="N277"/>
      <c r="O277"/>
      <c r="R277" s="3"/>
      <c r="U277" s="2"/>
    </row>
    <row r="278" spans="1:30" ht="22.5" customHeight="1" x14ac:dyDescent="0.25">
      <c r="A278" s="8">
        <f t="shared" si="4"/>
        <v>277</v>
      </c>
      <c r="B278" s="24" t="s">
        <v>47</v>
      </c>
      <c r="C278" s="27">
        <v>42285</v>
      </c>
      <c r="D278" s="4">
        <v>23</v>
      </c>
      <c r="E278" s="4" t="s">
        <v>25</v>
      </c>
      <c r="F278" s="4" t="s">
        <v>42</v>
      </c>
      <c r="G278" s="4" t="s">
        <v>21</v>
      </c>
      <c r="H278" s="44" t="s">
        <v>621</v>
      </c>
      <c r="I278" s="5" t="s">
        <v>22</v>
      </c>
      <c r="J278" s="36" t="s">
        <v>23</v>
      </c>
      <c r="K278"/>
      <c r="L278"/>
      <c r="M278"/>
      <c r="N278"/>
      <c r="O278"/>
      <c r="R278" s="3"/>
      <c r="U278" s="2"/>
    </row>
    <row r="279" spans="1:30" ht="22.5" customHeight="1" x14ac:dyDescent="0.25">
      <c r="A279" s="8">
        <f t="shared" si="4"/>
        <v>278</v>
      </c>
      <c r="B279" s="24" t="s">
        <v>81</v>
      </c>
      <c r="C279" s="27">
        <v>42257</v>
      </c>
      <c r="D279" s="4">
        <v>30</v>
      </c>
      <c r="E279" s="4" t="s">
        <v>25</v>
      </c>
      <c r="F279" s="4" t="s">
        <v>42</v>
      </c>
      <c r="G279" s="4" t="s">
        <v>45</v>
      </c>
      <c r="H279" s="44" t="s">
        <v>622</v>
      </c>
      <c r="I279" s="5" t="s">
        <v>22</v>
      </c>
      <c r="J279" s="36" t="s">
        <v>23</v>
      </c>
      <c r="K279"/>
      <c r="L279"/>
      <c r="M279"/>
      <c r="N279"/>
      <c r="O279"/>
      <c r="R279" s="3"/>
      <c r="U279" s="2"/>
    </row>
    <row r="280" spans="1:30" ht="22.5" customHeight="1" x14ac:dyDescent="0.25">
      <c r="A280" s="8">
        <f t="shared" si="4"/>
        <v>279</v>
      </c>
      <c r="B280" s="24" t="s">
        <v>83</v>
      </c>
      <c r="C280" s="27">
        <v>42089</v>
      </c>
      <c r="D280" s="4">
        <v>32</v>
      </c>
      <c r="E280" s="4" t="s">
        <v>25</v>
      </c>
      <c r="F280" s="4" t="s">
        <v>50</v>
      </c>
      <c r="G280" s="4" t="s">
        <v>21</v>
      </c>
      <c r="H280" s="44" t="s">
        <v>622</v>
      </c>
      <c r="I280" s="5" t="s">
        <v>22</v>
      </c>
      <c r="J280" s="36" t="s">
        <v>23</v>
      </c>
      <c r="K280"/>
      <c r="L280"/>
      <c r="M280"/>
      <c r="N280"/>
      <c r="O280"/>
      <c r="R280" s="3"/>
      <c r="U280" s="2"/>
    </row>
    <row r="281" spans="1:30" ht="22.5" customHeight="1" x14ac:dyDescent="0.25">
      <c r="A281" s="8">
        <f t="shared" si="4"/>
        <v>280</v>
      </c>
      <c r="B281" s="24" t="s">
        <v>184</v>
      </c>
      <c r="C281" s="27">
        <v>42305</v>
      </c>
      <c r="D281" s="4">
        <v>24</v>
      </c>
      <c r="E281" s="4" t="s">
        <v>19</v>
      </c>
      <c r="F281" s="4" t="s">
        <v>39</v>
      </c>
      <c r="G281" s="4" t="s">
        <v>21</v>
      </c>
      <c r="H281" s="44" t="s">
        <v>620</v>
      </c>
      <c r="I281" s="5" t="s">
        <v>22</v>
      </c>
      <c r="J281" s="36" t="s">
        <v>23</v>
      </c>
      <c r="K281"/>
      <c r="L281"/>
      <c r="M281"/>
      <c r="N281"/>
      <c r="O281"/>
      <c r="R281" s="3"/>
      <c r="U281" s="2"/>
    </row>
    <row r="282" spans="1:30" ht="22.5" customHeight="1" x14ac:dyDescent="0.25">
      <c r="A282" s="8">
        <f t="shared" si="4"/>
        <v>281</v>
      </c>
      <c r="B282" s="24" t="s">
        <v>67</v>
      </c>
      <c r="C282" s="27">
        <v>42039</v>
      </c>
      <c r="D282" s="4">
        <v>41</v>
      </c>
      <c r="E282" s="4" t="s">
        <v>19</v>
      </c>
      <c r="F282" s="4" t="s">
        <v>34</v>
      </c>
      <c r="G282" s="4" t="s">
        <v>21</v>
      </c>
      <c r="H282" s="44" t="s">
        <v>620</v>
      </c>
      <c r="I282" s="5" t="s">
        <v>22</v>
      </c>
      <c r="J282" s="36" t="s">
        <v>23</v>
      </c>
      <c r="K282"/>
      <c r="L282"/>
      <c r="M282"/>
      <c r="N282"/>
      <c r="O282"/>
      <c r="R282" s="3"/>
      <c r="U282" s="2"/>
    </row>
    <row r="283" spans="1:30" ht="22.5" customHeight="1" x14ac:dyDescent="0.25">
      <c r="A283" s="8">
        <f t="shared" si="4"/>
        <v>282</v>
      </c>
      <c r="B283" s="24" t="s">
        <v>74</v>
      </c>
      <c r="C283" s="27">
        <v>42354</v>
      </c>
      <c r="D283" s="4">
        <v>35</v>
      </c>
      <c r="E283" s="4" t="s">
        <v>19</v>
      </c>
      <c r="F283" s="4" t="s">
        <v>20</v>
      </c>
      <c r="G283" s="4" t="s">
        <v>51</v>
      </c>
      <c r="H283" s="44" t="s">
        <v>621</v>
      </c>
      <c r="I283" s="5" t="s">
        <v>22</v>
      </c>
      <c r="J283" s="36" t="s">
        <v>23</v>
      </c>
      <c r="K283"/>
      <c r="L283"/>
      <c r="M283"/>
      <c r="N283"/>
      <c r="O283"/>
      <c r="R283" s="3"/>
      <c r="U283" s="2"/>
    </row>
    <row r="284" spans="1:30" ht="22.5" customHeight="1" x14ac:dyDescent="0.25">
      <c r="A284" s="8">
        <f t="shared" si="4"/>
        <v>283</v>
      </c>
      <c r="B284" s="24" t="s">
        <v>72</v>
      </c>
      <c r="C284" s="27">
        <v>41822</v>
      </c>
      <c r="D284" s="4">
        <v>30</v>
      </c>
      <c r="E284" s="4" t="s">
        <v>25</v>
      </c>
      <c r="F284" s="4" t="s">
        <v>39</v>
      </c>
      <c r="G284" s="4" t="s">
        <v>21</v>
      </c>
      <c r="H284" s="44" t="s">
        <v>621</v>
      </c>
      <c r="I284" s="5" t="s">
        <v>22</v>
      </c>
      <c r="J284" s="36" t="s">
        <v>23</v>
      </c>
      <c r="K284"/>
      <c r="L284"/>
      <c r="M284"/>
      <c r="N284"/>
      <c r="O284"/>
      <c r="R284" s="3"/>
      <c r="U284" s="2"/>
    </row>
    <row r="285" spans="1:30" ht="22.5" customHeight="1" x14ac:dyDescent="0.25">
      <c r="A285" s="8">
        <f t="shared" si="4"/>
        <v>284</v>
      </c>
      <c r="B285" s="24" t="s">
        <v>58</v>
      </c>
      <c r="C285" s="27">
        <v>41668</v>
      </c>
      <c r="D285" s="4">
        <v>40</v>
      </c>
      <c r="E285" s="4" t="s">
        <v>25</v>
      </c>
      <c r="F285" s="4" t="s">
        <v>37</v>
      </c>
      <c r="G285" s="4" t="s">
        <v>21</v>
      </c>
      <c r="H285" s="44" t="s">
        <v>620</v>
      </c>
      <c r="I285" s="5" t="s">
        <v>22</v>
      </c>
      <c r="J285" s="37" t="s">
        <v>23</v>
      </c>
      <c r="K285"/>
      <c r="L285"/>
      <c r="M285"/>
      <c r="N285"/>
      <c r="O285"/>
      <c r="R285" s="3"/>
      <c r="U285" s="2"/>
    </row>
    <row r="286" spans="1:30" ht="22.5" customHeight="1" x14ac:dyDescent="0.25">
      <c r="A286" s="8">
        <f t="shared" si="4"/>
        <v>285</v>
      </c>
      <c r="B286" s="24" t="s">
        <v>76</v>
      </c>
      <c r="C286" s="27">
        <v>41662</v>
      </c>
      <c r="D286" s="4">
        <v>40</v>
      </c>
      <c r="E286" s="4" t="s">
        <v>25</v>
      </c>
      <c r="F286" s="4" t="s">
        <v>37</v>
      </c>
      <c r="G286" s="4" t="s">
        <v>21</v>
      </c>
      <c r="H286" s="44" t="s">
        <v>622</v>
      </c>
      <c r="I286" s="5" t="s">
        <v>22</v>
      </c>
      <c r="J286" s="37" t="s">
        <v>23</v>
      </c>
      <c r="K286"/>
      <c r="L286"/>
      <c r="M286"/>
      <c r="N286"/>
      <c r="O286"/>
      <c r="R286" s="3"/>
      <c r="U286" s="2"/>
    </row>
    <row r="287" spans="1:30" ht="22.5" customHeight="1" x14ac:dyDescent="0.25">
      <c r="A287" s="8">
        <f t="shared" si="4"/>
        <v>286</v>
      </c>
      <c r="B287" s="24" t="s">
        <v>71</v>
      </c>
      <c r="C287" s="27">
        <v>41987</v>
      </c>
      <c r="D287" s="4">
        <v>42</v>
      </c>
      <c r="E287" s="4" t="s">
        <v>25</v>
      </c>
      <c r="F287" s="4" t="s">
        <v>42</v>
      </c>
      <c r="G287" s="4" t="s">
        <v>21</v>
      </c>
      <c r="H287" s="44" t="s">
        <v>621</v>
      </c>
      <c r="I287" s="5" t="s">
        <v>22</v>
      </c>
      <c r="J287" s="37" t="s">
        <v>23</v>
      </c>
      <c r="K287" s="2"/>
      <c r="L287" s="2"/>
      <c r="M287" s="2"/>
      <c r="N287" s="2"/>
      <c r="O287" s="2"/>
      <c r="P287" s="2"/>
      <c r="Q287" s="2"/>
      <c r="R287" s="3"/>
      <c r="S287" s="2"/>
      <c r="T287" s="2"/>
      <c r="U287" s="2"/>
      <c r="V287" s="2"/>
      <c r="W287" s="2"/>
      <c r="X287" s="2"/>
      <c r="Y287" s="2"/>
      <c r="Z287" s="2"/>
      <c r="AA287" s="2"/>
      <c r="AB287" s="2"/>
      <c r="AC287" s="2"/>
      <c r="AD287" s="2"/>
    </row>
    <row r="288" spans="1:30" ht="22.5" customHeight="1" x14ac:dyDescent="0.25">
      <c r="A288" s="8">
        <f t="shared" si="4"/>
        <v>287</v>
      </c>
      <c r="B288" s="24" t="s">
        <v>108</v>
      </c>
      <c r="C288" s="27">
        <v>41935</v>
      </c>
      <c r="D288" s="4">
        <v>45</v>
      </c>
      <c r="E288" s="4" t="s">
        <v>25</v>
      </c>
      <c r="F288" s="4" t="s">
        <v>32</v>
      </c>
      <c r="G288" s="4" t="s">
        <v>21</v>
      </c>
      <c r="H288" s="44" t="s">
        <v>622</v>
      </c>
      <c r="I288" s="5" t="s">
        <v>22</v>
      </c>
      <c r="J288" s="36" t="s">
        <v>23</v>
      </c>
      <c r="K288" s="2"/>
      <c r="L288" s="2"/>
      <c r="M288" s="2"/>
      <c r="N288" s="2"/>
      <c r="O288" s="2"/>
      <c r="P288" s="2"/>
      <c r="Q288" s="2"/>
      <c r="R288" s="3"/>
      <c r="S288" s="2"/>
      <c r="T288" s="2"/>
      <c r="U288" s="2"/>
      <c r="V288" s="2"/>
      <c r="W288" s="2"/>
      <c r="X288" s="2"/>
      <c r="Y288" s="2"/>
      <c r="Z288" s="2"/>
      <c r="AA288" s="2"/>
      <c r="AB288" s="2"/>
      <c r="AC288" s="2"/>
      <c r="AD288" s="2"/>
    </row>
    <row r="289" spans="1:30" ht="22.5" customHeight="1" x14ac:dyDescent="0.25">
      <c r="A289" s="8">
        <f t="shared" si="4"/>
        <v>288</v>
      </c>
      <c r="B289" s="24" t="s">
        <v>48</v>
      </c>
      <c r="C289" s="27">
        <v>41640</v>
      </c>
      <c r="D289" s="4">
        <v>24</v>
      </c>
      <c r="E289" s="4" t="s">
        <v>19</v>
      </c>
      <c r="F289" s="4" t="s">
        <v>32</v>
      </c>
      <c r="G289" s="4" t="s">
        <v>21</v>
      </c>
      <c r="H289" s="44" t="s">
        <v>622</v>
      </c>
      <c r="I289" s="5" t="s">
        <v>22</v>
      </c>
      <c r="J289" s="36" t="s">
        <v>23</v>
      </c>
      <c r="K289" s="2"/>
      <c r="L289" s="2"/>
      <c r="M289" s="2"/>
      <c r="N289" s="2"/>
      <c r="O289" s="2"/>
      <c r="P289" s="2"/>
      <c r="Q289" s="2"/>
      <c r="R289" s="3"/>
      <c r="S289" s="2"/>
      <c r="T289" s="2"/>
      <c r="U289" s="2"/>
      <c r="V289" s="2"/>
      <c r="W289" s="2"/>
      <c r="X289" s="2"/>
      <c r="Y289" s="2"/>
      <c r="Z289" s="2"/>
      <c r="AA289" s="2"/>
      <c r="AB289" s="2"/>
      <c r="AC289" s="2"/>
      <c r="AD289" s="2"/>
    </row>
    <row r="290" spans="1:30" ht="22.5" customHeight="1" x14ac:dyDescent="0.25">
      <c r="A290" s="8">
        <f t="shared" si="4"/>
        <v>289</v>
      </c>
      <c r="B290" s="24" t="s">
        <v>65</v>
      </c>
      <c r="C290" s="27">
        <v>41722</v>
      </c>
      <c r="D290" s="4">
        <v>30</v>
      </c>
      <c r="E290" s="4" t="s">
        <v>19</v>
      </c>
      <c r="F290" s="4" t="s">
        <v>28</v>
      </c>
      <c r="G290" s="4" t="s">
        <v>21</v>
      </c>
      <c r="H290" s="44" t="s">
        <v>620</v>
      </c>
      <c r="I290" s="5" t="s">
        <v>22</v>
      </c>
      <c r="J290" s="36" t="s">
        <v>23</v>
      </c>
      <c r="K290" s="2"/>
      <c r="L290" s="2"/>
      <c r="M290" s="2"/>
      <c r="N290" s="2"/>
      <c r="O290" s="2"/>
      <c r="P290" s="2"/>
      <c r="Q290" s="2"/>
      <c r="R290" s="2"/>
      <c r="S290" s="2"/>
      <c r="T290" s="2"/>
      <c r="U290" s="2"/>
      <c r="V290" s="2"/>
      <c r="W290" s="2"/>
      <c r="X290" s="2"/>
      <c r="Y290" s="2"/>
      <c r="Z290" s="2"/>
      <c r="AA290" s="2"/>
      <c r="AB290" s="2"/>
      <c r="AC290" s="2"/>
      <c r="AD290" s="2"/>
    </row>
    <row r="291" spans="1:30" ht="22.5" customHeight="1" x14ac:dyDescent="0.25">
      <c r="A291" s="8">
        <f t="shared" si="4"/>
        <v>290</v>
      </c>
      <c r="B291" s="24" t="s">
        <v>103</v>
      </c>
      <c r="C291" s="27">
        <v>41838</v>
      </c>
      <c r="D291" s="4">
        <v>36</v>
      </c>
      <c r="E291" s="4" t="s">
        <v>19</v>
      </c>
      <c r="F291" s="4" t="s">
        <v>34</v>
      </c>
      <c r="G291" s="4" t="s">
        <v>21</v>
      </c>
      <c r="H291" s="44" t="s">
        <v>620</v>
      </c>
      <c r="I291" s="5" t="s">
        <v>22</v>
      </c>
      <c r="J291" s="36" t="s">
        <v>23</v>
      </c>
      <c r="K291"/>
      <c r="L291"/>
      <c r="M291"/>
      <c r="N291"/>
      <c r="O291"/>
      <c r="U291" s="2"/>
    </row>
    <row r="292" spans="1:30" ht="22.5" customHeight="1" x14ac:dyDescent="0.25">
      <c r="A292" s="8">
        <f t="shared" si="4"/>
        <v>291</v>
      </c>
      <c r="B292" s="24" t="s">
        <v>85</v>
      </c>
      <c r="C292" s="27">
        <v>41544</v>
      </c>
      <c r="D292" s="4">
        <v>41</v>
      </c>
      <c r="E292" s="4" t="s">
        <v>25</v>
      </c>
      <c r="F292" s="4" t="s">
        <v>86</v>
      </c>
      <c r="G292" s="4" t="s">
        <v>21</v>
      </c>
      <c r="H292" s="44" t="s">
        <v>621</v>
      </c>
      <c r="I292" s="5" t="s">
        <v>22</v>
      </c>
      <c r="J292" s="36" t="s">
        <v>23</v>
      </c>
      <c r="K292"/>
      <c r="L292"/>
      <c r="M292"/>
      <c r="N292"/>
      <c r="O292"/>
      <c r="U292" s="2"/>
    </row>
    <row r="293" spans="1:30" ht="22.5" customHeight="1" x14ac:dyDescent="0.25">
      <c r="A293" s="8">
        <f t="shared" si="4"/>
        <v>292</v>
      </c>
      <c r="B293" s="24" t="s">
        <v>87</v>
      </c>
      <c r="C293" s="27">
        <v>41453</v>
      </c>
      <c r="D293" s="4">
        <v>35</v>
      </c>
      <c r="E293" s="4" t="s">
        <v>19</v>
      </c>
      <c r="F293" s="4" t="s">
        <v>61</v>
      </c>
      <c r="G293" s="4" t="s">
        <v>21</v>
      </c>
      <c r="H293" s="44" t="s">
        <v>621</v>
      </c>
      <c r="I293" s="5" t="s">
        <v>22</v>
      </c>
      <c r="J293" s="36" t="s">
        <v>23</v>
      </c>
      <c r="K293"/>
      <c r="L293"/>
      <c r="M293"/>
      <c r="N293"/>
      <c r="O293"/>
      <c r="U293" s="2"/>
    </row>
    <row r="294" spans="1:30" ht="22.5" customHeight="1" x14ac:dyDescent="0.25">
      <c r="A294" s="8">
        <f t="shared" si="4"/>
        <v>293</v>
      </c>
      <c r="B294" s="24" t="s">
        <v>77</v>
      </c>
      <c r="C294" s="27">
        <v>41573</v>
      </c>
      <c r="D294" s="4">
        <v>40</v>
      </c>
      <c r="E294" s="4" t="s">
        <v>19</v>
      </c>
      <c r="F294" s="4" t="s">
        <v>39</v>
      </c>
      <c r="G294" s="4" t="s">
        <v>21</v>
      </c>
      <c r="H294" s="44" t="s">
        <v>620</v>
      </c>
      <c r="I294" s="5" t="s">
        <v>22</v>
      </c>
      <c r="J294" s="36" t="s">
        <v>23</v>
      </c>
      <c r="K294"/>
      <c r="L294"/>
      <c r="M294"/>
      <c r="N294"/>
      <c r="O294"/>
      <c r="U294" s="2"/>
    </row>
    <row r="295" spans="1:30" ht="22.5" customHeight="1" x14ac:dyDescent="0.25">
      <c r="A295" s="8">
        <f t="shared" si="4"/>
        <v>294</v>
      </c>
      <c r="B295" s="24" t="s">
        <v>68</v>
      </c>
      <c r="C295" s="27">
        <v>41612</v>
      </c>
      <c r="D295" s="4">
        <v>40</v>
      </c>
      <c r="E295" s="4" t="s">
        <v>19</v>
      </c>
      <c r="F295" s="4" t="s">
        <v>42</v>
      </c>
      <c r="G295" s="4" t="s">
        <v>21</v>
      </c>
      <c r="H295" s="44" t="s">
        <v>622</v>
      </c>
      <c r="I295" s="5" t="s">
        <v>22</v>
      </c>
      <c r="J295" s="36" t="s">
        <v>23</v>
      </c>
      <c r="K295"/>
      <c r="L295"/>
      <c r="M295"/>
      <c r="N295"/>
      <c r="O295"/>
      <c r="U295" s="2"/>
    </row>
    <row r="296" spans="1:30" ht="22.5" customHeight="1" x14ac:dyDescent="0.25">
      <c r="A296" s="8">
        <f t="shared" si="4"/>
        <v>295</v>
      </c>
      <c r="B296" s="24" t="s">
        <v>100</v>
      </c>
      <c r="C296" s="27">
        <v>41042</v>
      </c>
      <c r="D296" s="4">
        <v>44</v>
      </c>
      <c r="E296" s="4" t="s">
        <v>25</v>
      </c>
      <c r="F296" s="4" t="s">
        <v>42</v>
      </c>
      <c r="G296" s="4" t="s">
        <v>21</v>
      </c>
      <c r="H296" s="44" t="s">
        <v>621</v>
      </c>
      <c r="I296" s="5" t="s">
        <v>22</v>
      </c>
      <c r="J296" s="36" t="s">
        <v>23</v>
      </c>
      <c r="K296"/>
      <c r="L296"/>
      <c r="M296"/>
      <c r="N296"/>
      <c r="O296"/>
      <c r="U296" s="2"/>
    </row>
    <row r="297" spans="1:30" ht="22.5" customHeight="1" x14ac:dyDescent="0.25">
      <c r="A297" s="8">
        <f t="shared" si="4"/>
        <v>296</v>
      </c>
      <c r="B297" s="24" t="s">
        <v>240</v>
      </c>
      <c r="C297" s="27">
        <v>41162</v>
      </c>
      <c r="D297" s="4">
        <v>44</v>
      </c>
      <c r="E297" s="4" t="s">
        <v>19</v>
      </c>
      <c r="F297" s="4" t="s">
        <v>32</v>
      </c>
      <c r="G297" s="4" t="s">
        <v>21</v>
      </c>
      <c r="H297" s="44" t="s">
        <v>622</v>
      </c>
      <c r="I297" s="5" t="s">
        <v>22</v>
      </c>
      <c r="J297" s="36" t="s">
        <v>23</v>
      </c>
      <c r="K297"/>
      <c r="L297"/>
      <c r="M297"/>
      <c r="N297"/>
      <c r="O297"/>
      <c r="U297" s="2"/>
    </row>
    <row r="298" spans="1:30" ht="22.5" customHeight="1" x14ac:dyDescent="0.25">
      <c r="A298" s="8">
        <f t="shared" si="4"/>
        <v>297</v>
      </c>
      <c r="B298" s="24" t="s">
        <v>69</v>
      </c>
      <c r="C298" s="27">
        <v>40772</v>
      </c>
      <c r="D298" s="4">
        <v>44</v>
      </c>
      <c r="E298" s="4" t="s">
        <v>25</v>
      </c>
      <c r="F298" s="4" t="s">
        <v>37</v>
      </c>
      <c r="G298" s="4" t="s">
        <v>21</v>
      </c>
      <c r="H298" s="44" t="s">
        <v>622</v>
      </c>
      <c r="I298" s="5" t="s">
        <v>22</v>
      </c>
      <c r="J298" s="36" t="s">
        <v>23</v>
      </c>
      <c r="K298"/>
      <c r="L298"/>
      <c r="M298"/>
      <c r="N298"/>
      <c r="O298"/>
      <c r="U298" s="2"/>
    </row>
    <row r="299" spans="1:30" ht="22.5" customHeight="1" x14ac:dyDescent="0.25">
      <c r="A299" s="8">
        <f t="shared" si="4"/>
        <v>298</v>
      </c>
      <c r="B299" s="24" t="s">
        <v>59</v>
      </c>
      <c r="C299" s="27">
        <v>40534</v>
      </c>
      <c r="D299" s="4">
        <v>40</v>
      </c>
      <c r="E299" s="4" t="s">
        <v>25</v>
      </c>
      <c r="F299" s="4" t="s">
        <v>37</v>
      </c>
      <c r="G299" s="4" t="s">
        <v>21</v>
      </c>
      <c r="H299" s="44" t="s">
        <v>620</v>
      </c>
      <c r="I299" s="5" t="s">
        <v>22</v>
      </c>
      <c r="J299" s="36" t="s">
        <v>23</v>
      </c>
      <c r="K299"/>
      <c r="L299"/>
      <c r="M299"/>
      <c r="N299"/>
      <c r="O299"/>
      <c r="U299" s="2"/>
    </row>
    <row r="300" spans="1:30" ht="22.5" customHeight="1" x14ac:dyDescent="0.25">
      <c r="A300" s="8">
        <f t="shared" si="4"/>
        <v>299</v>
      </c>
      <c r="B300" s="24" t="s">
        <v>70</v>
      </c>
      <c r="C300" s="27">
        <v>40357</v>
      </c>
      <c r="D300" s="4">
        <v>65</v>
      </c>
      <c r="E300" s="4" t="s">
        <v>19</v>
      </c>
      <c r="F300" s="4" t="s">
        <v>34</v>
      </c>
      <c r="G300" s="4" t="s">
        <v>21</v>
      </c>
      <c r="H300" s="44" t="s">
        <v>620</v>
      </c>
      <c r="I300" s="5" t="s">
        <v>22</v>
      </c>
      <c r="J300" s="36" t="s">
        <v>23</v>
      </c>
      <c r="K300"/>
      <c r="L300"/>
      <c r="M300"/>
      <c r="N300"/>
      <c r="O300"/>
      <c r="U300" s="2"/>
    </row>
    <row r="301" spans="1:30" ht="22.5" customHeight="1" x14ac:dyDescent="0.25">
      <c r="A301" s="8">
        <f t="shared" si="4"/>
        <v>300</v>
      </c>
      <c r="B301" s="24" t="s">
        <v>107</v>
      </c>
      <c r="C301" s="27">
        <v>40047</v>
      </c>
      <c r="D301" s="4">
        <v>50</v>
      </c>
      <c r="E301" s="4" t="s">
        <v>25</v>
      </c>
      <c r="F301" s="4" t="s">
        <v>20</v>
      </c>
      <c r="G301" s="4" t="s">
        <v>21</v>
      </c>
      <c r="H301" s="44" t="s">
        <v>621</v>
      </c>
      <c r="I301" s="5" t="s">
        <v>22</v>
      </c>
      <c r="J301" s="36" t="s">
        <v>23</v>
      </c>
      <c r="K301"/>
      <c r="L301"/>
      <c r="M301"/>
      <c r="N301"/>
      <c r="O301"/>
      <c r="U301" s="2"/>
    </row>
    <row r="302" spans="1:30" ht="22.5" customHeight="1" x14ac:dyDescent="0.25">
      <c r="A302" s="8">
        <f t="shared" si="4"/>
        <v>301</v>
      </c>
      <c r="B302" s="24" t="s">
        <v>33</v>
      </c>
      <c r="C302" s="27">
        <v>39695</v>
      </c>
      <c r="D302" s="4">
        <v>49</v>
      </c>
      <c r="E302" s="4" t="s">
        <v>25</v>
      </c>
      <c r="F302" s="4" t="s">
        <v>34</v>
      </c>
      <c r="G302" s="4" t="s">
        <v>21</v>
      </c>
      <c r="H302" s="44" t="s">
        <v>621</v>
      </c>
      <c r="I302" s="5" t="s">
        <v>22</v>
      </c>
      <c r="J302" s="36" t="s">
        <v>23</v>
      </c>
      <c r="K302"/>
      <c r="L302"/>
      <c r="M302"/>
      <c r="N302"/>
      <c r="O302"/>
      <c r="U302" s="2"/>
    </row>
    <row r="303" spans="1:30" ht="22.5" customHeight="1" x14ac:dyDescent="0.25">
      <c r="A303" s="8">
        <f t="shared" si="4"/>
        <v>302</v>
      </c>
      <c r="B303" s="24" t="s">
        <v>111</v>
      </c>
      <c r="C303" s="27">
        <v>39542</v>
      </c>
      <c r="D303" s="4">
        <v>44</v>
      </c>
      <c r="E303" s="4" t="s">
        <v>19</v>
      </c>
      <c r="F303" s="4" t="s">
        <v>20</v>
      </c>
      <c r="G303" s="4" t="s">
        <v>112</v>
      </c>
      <c r="H303" s="44" t="s">
        <v>620</v>
      </c>
      <c r="I303" s="5" t="s">
        <v>22</v>
      </c>
      <c r="J303" s="36" t="s">
        <v>23</v>
      </c>
      <c r="K303"/>
      <c r="L303"/>
      <c r="M303"/>
      <c r="N303"/>
      <c r="O303"/>
      <c r="U303" s="2"/>
    </row>
    <row r="304" spans="1:30" ht="22.5" customHeight="1" x14ac:dyDescent="0.25">
      <c r="A304" s="8">
        <f t="shared" si="4"/>
        <v>303</v>
      </c>
      <c r="B304" s="24" t="s">
        <v>63</v>
      </c>
      <c r="C304" s="27">
        <v>39704</v>
      </c>
      <c r="D304" s="4">
        <v>52</v>
      </c>
      <c r="E304" s="4" t="s">
        <v>19</v>
      </c>
      <c r="F304" s="4" t="s">
        <v>26</v>
      </c>
      <c r="G304" s="4" t="s">
        <v>21</v>
      </c>
      <c r="H304" s="44" t="s">
        <v>622</v>
      </c>
      <c r="I304" s="5" t="s">
        <v>22</v>
      </c>
      <c r="J304" s="36" t="s">
        <v>23</v>
      </c>
      <c r="K304"/>
      <c r="L304"/>
      <c r="M304"/>
      <c r="N304"/>
      <c r="O304"/>
      <c r="U304" s="2"/>
    </row>
    <row r="305" spans="1:30" ht="22.5" customHeight="1" x14ac:dyDescent="0.25">
      <c r="A305" s="8">
        <f t="shared" si="4"/>
        <v>304</v>
      </c>
      <c r="B305" s="24" t="s">
        <v>89</v>
      </c>
      <c r="C305" s="27">
        <v>39759</v>
      </c>
      <c r="D305" s="4">
        <v>55</v>
      </c>
      <c r="E305" s="4" t="s">
        <v>19</v>
      </c>
      <c r="F305" s="4" t="s">
        <v>61</v>
      </c>
      <c r="G305" s="4" t="s">
        <v>21</v>
      </c>
      <c r="H305" s="44" t="s">
        <v>621</v>
      </c>
      <c r="I305" s="5" t="s">
        <v>22</v>
      </c>
      <c r="J305" s="36" t="s">
        <v>23</v>
      </c>
      <c r="K305"/>
      <c r="L305"/>
      <c r="M305"/>
      <c r="N305"/>
      <c r="O305"/>
      <c r="U305" s="2"/>
    </row>
    <row r="306" spans="1:30" ht="22.5" customHeight="1" x14ac:dyDescent="0.25">
      <c r="A306" s="8">
        <f t="shared" si="4"/>
        <v>305</v>
      </c>
      <c r="B306" s="24" t="s">
        <v>73</v>
      </c>
      <c r="C306" s="27">
        <v>39824</v>
      </c>
      <c r="D306" s="4">
        <v>66</v>
      </c>
      <c r="E306" s="4" t="s">
        <v>19</v>
      </c>
      <c r="F306" s="4" t="s">
        <v>61</v>
      </c>
      <c r="G306" s="4" t="s">
        <v>21</v>
      </c>
      <c r="H306" s="44" t="s">
        <v>622</v>
      </c>
      <c r="I306" s="5" t="s">
        <v>22</v>
      </c>
      <c r="J306" s="36" t="s">
        <v>23</v>
      </c>
      <c r="K306"/>
      <c r="L306"/>
      <c r="M306"/>
      <c r="N306"/>
      <c r="O306"/>
      <c r="U306" s="2"/>
    </row>
    <row r="307" spans="1:30" ht="22.5" customHeight="1" x14ac:dyDescent="0.25">
      <c r="A307" s="8">
        <f t="shared" si="4"/>
        <v>306</v>
      </c>
      <c r="B307" s="24" t="s">
        <v>64</v>
      </c>
      <c r="C307" s="27">
        <v>39732</v>
      </c>
      <c r="D307" s="4">
        <v>59</v>
      </c>
      <c r="E307" s="4" t="s">
        <v>19</v>
      </c>
      <c r="F307" s="4" t="s">
        <v>26</v>
      </c>
      <c r="G307" s="4" t="s">
        <v>21</v>
      </c>
      <c r="H307" s="44" t="s">
        <v>622</v>
      </c>
      <c r="I307" s="5" t="s">
        <v>22</v>
      </c>
      <c r="J307" s="36" t="s">
        <v>23</v>
      </c>
      <c r="K307"/>
      <c r="L307"/>
      <c r="M307"/>
      <c r="N307"/>
      <c r="O307"/>
      <c r="U307" s="2"/>
    </row>
    <row r="308" spans="1:30" ht="22.5" customHeight="1" x14ac:dyDescent="0.25">
      <c r="A308" s="8">
        <f t="shared" si="4"/>
        <v>307</v>
      </c>
      <c r="B308" s="24" t="s">
        <v>30</v>
      </c>
      <c r="C308" s="27">
        <v>38080</v>
      </c>
      <c r="D308" s="4">
        <v>45</v>
      </c>
      <c r="E308" s="4" t="s">
        <v>25</v>
      </c>
      <c r="F308" s="4" t="s">
        <v>26</v>
      </c>
      <c r="G308" s="4" t="s">
        <v>21</v>
      </c>
      <c r="H308" s="44" t="s">
        <v>620</v>
      </c>
      <c r="I308" s="5" t="s">
        <v>22</v>
      </c>
      <c r="J308" s="36" t="s">
        <v>23</v>
      </c>
      <c r="K308"/>
      <c r="L308"/>
      <c r="M308"/>
      <c r="N308"/>
      <c r="O308"/>
      <c r="U308" s="2"/>
    </row>
    <row r="309" spans="1:30" ht="22.5" customHeight="1" x14ac:dyDescent="0.25">
      <c r="A309" s="8">
        <f t="shared" si="4"/>
        <v>308</v>
      </c>
      <c r="B309" s="24" t="s">
        <v>31</v>
      </c>
      <c r="C309" s="27">
        <v>39109</v>
      </c>
      <c r="D309" s="4">
        <v>59</v>
      </c>
      <c r="E309" s="4" t="s">
        <v>25</v>
      </c>
      <c r="F309" s="4" t="s">
        <v>32</v>
      </c>
      <c r="G309" s="4" t="s">
        <v>21</v>
      </c>
      <c r="H309" s="44" t="s">
        <v>620</v>
      </c>
      <c r="I309" s="5" t="s">
        <v>22</v>
      </c>
      <c r="J309" s="36" t="s">
        <v>23</v>
      </c>
      <c r="K309"/>
      <c r="L309"/>
      <c r="M309"/>
      <c r="N309"/>
      <c r="O309"/>
      <c r="U309" s="2"/>
    </row>
    <row r="310" spans="1:30" ht="22.5" customHeight="1" x14ac:dyDescent="0.25">
      <c r="A310" s="8">
        <f t="shared" si="4"/>
        <v>309</v>
      </c>
      <c r="B310" s="24" t="s">
        <v>24</v>
      </c>
      <c r="C310" s="27">
        <v>39433</v>
      </c>
      <c r="D310" s="4">
        <v>97</v>
      </c>
      <c r="E310" s="4" t="s">
        <v>25</v>
      </c>
      <c r="F310" s="4" t="s">
        <v>26</v>
      </c>
      <c r="G310" s="4" t="s">
        <v>21</v>
      </c>
      <c r="H310" s="44" t="s">
        <v>621</v>
      </c>
      <c r="I310" s="5" t="s">
        <v>22</v>
      </c>
      <c r="J310" s="36" t="s">
        <v>23</v>
      </c>
      <c r="K310"/>
      <c r="L310"/>
      <c r="M310"/>
      <c r="N310"/>
      <c r="O310"/>
      <c r="U310" s="2"/>
    </row>
    <row r="311" spans="1:30" ht="22.5" customHeight="1" x14ac:dyDescent="0.25">
      <c r="A311" s="8">
        <f t="shared" si="4"/>
        <v>310</v>
      </c>
      <c r="B311" s="24" t="s">
        <v>56</v>
      </c>
      <c r="C311" s="27">
        <v>38706</v>
      </c>
      <c r="D311" s="4">
        <v>48</v>
      </c>
      <c r="E311" s="4" t="s">
        <v>19</v>
      </c>
      <c r="F311" s="4" t="s">
        <v>34</v>
      </c>
      <c r="G311" s="4" t="s">
        <v>21</v>
      </c>
      <c r="H311" s="44" t="s">
        <v>621</v>
      </c>
      <c r="I311" s="5" t="s">
        <v>22</v>
      </c>
      <c r="J311" s="36" t="s">
        <v>23</v>
      </c>
      <c r="K311"/>
      <c r="L311"/>
      <c r="M311"/>
      <c r="N311"/>
      <c r="O311"/>
      <c r="U311" s="2"/>
    </row>
    <row r="312" spans="1:30" ht="22.5" customHeight="1" x14ac:dyDescent="0.25">
      <c r="A312" s="8">
        <f t="shared" si="4"/>
        <v>311</v>
      </c>
      <c r="B312" s="24" t="s">
        <v>98</v>
      </c>
      <c r="C312" s="27">
        <v>37727</v>
      </c>
      <c r="D312" s="4">
        <v>40</v>
      </c>
      <c r="E312" s="4" t="s">
        <v>19</v>
      </c>
      <c r="F312" s="4" t="s">
        <v>26</v>
      </c>
      <c r="G312" s="4" t="s">
        <v>21</v>
      </c>
      <c r="H312" s="44" t="s">
        <v>620</v>
      </c>
      <c r="I312" s="5" t="s">
        <v>22</v>
      </c>
      <c r="J312" s="36" t="s">
        <v>23</v>
      </c>
      <c r="K312"/>
      <c r="L312"/>
      <c r="M312"/>
      <c r="N312"/>
      <c r="O312"/>
      <c r="U312" s="2"/>
    </row>
    <row r="313" spans="1:30" ht="22.5" customHeight="1" x14ac:dyDescent="0.25">
      <c r="A313" s="8">
        <f t="shared" si="4"/>
        <v>312</v>
      </c>
      <c r="B313" s="24" t="s">
        <v>54</v>
      </c>
      <c r="C313" s="27">
        <v>39433</v>
      </c>
      <c r="D313" s="4">
        <v>50</v>
      </c>
      <c r="E313" s="4" t="s">
        <v>19</v>
      </c>
      <c r="F313" s="4" t="s">
        <v>26</v>
      </c>
      <c r="G313" s="4" t="s">
        <v>21</v>
      </c>
      <c r="H313" s="44" t="s">
        <v>622</v>
      </c>
      <c r="I313" s="5" t="s">
        <v>22</v>
      </c>
      <c r="J313" s="36" t="s">
        <v>23</v>
      </c>
      <c r="K313"/>
      <c r="L313"/>
      <c r="M313"/>
      <c r="N313"/>
      <c r="O313"/>
      <c r="U313" s="2"/>
    </row>
    <row r="314" spans="1:30" ht="22.5" customHeight="1" x14ac:dyDescent="0.25">
      <c r="A314" s="8">
        <f t="shared" si="4"/>
        <v>313</v>
      </c>
      <c r="B314" s="24" t="s">
        <v>53</v>
      </c>
      <c r="C314" s="27">
        <v>38688</v>
      </c>
      <c r="D314" s="4">
        <v>64</v>
      </c>
      <c r="E314" s="4" t="s">
        <v>19</v>
      </c>
      <c r="F314" s="4" t="s">
        <v>26</v>
      </c>
      <c r="G314" s="4" t="s">
        <v>21</v>
      </c>
      <c r="H314" s="44" t="s">
        <v>621</v>
      </c>
      <c r="I314" s="5" t="s">
        <v>22</v>
      </c>
      <c r="J314" s="36" t="s">
        <v>23</v>
      </c>
      <c r="K314"/>
      <c r="L314"/>
      <c r="M314"/>
      <c r="N314"/>
      <c r="O314"/>
      <c r="U314" s="2"/>
    </row>
    <row r="315" spans="1:30" ht="22.5" customHeight="1" x14ac:dyDescent="0.25">
      <c r="A315" s="8">
        <f t="shared" si="4"/>
        <v>314</v>
      </c>
      <c r="B315" s="24" t="s">
        <v>528</v>
      </c>
      <c r="C315" s="27">
        <v>44002</v>
      </c>
      <c r="D315" s="4">
        <v>19</v>
      </c>
      <c r="E315" s="4" t="s">
        <v>19</v>
      </c>
      <c r="F315" s="4" t="s">
        <v>50</v>
      </c>
      <c r="G315" s="4" t="s">
        <v>21</v>
      </c>
      <c r="H315" s="44" t="s">
        <v>622</v>
      </c>
      <c r="I315" s="5" t="s">
        <v>188</v>
      </c>
      <c r="J315" s="36" t="s">
        <v>189</v>
      </c>
      <c r="K315"/>
      <c r="L315"/>
      <c r="M315"/>
      <c r="N315"/>
      <c r="O315"/>
      <c r="U315" s="2"/>
    </row>
    <row r="316" spans="1:30" ht="22.5" customHeight="1" x14ac:dyDescent="0.25">
      <c r="A316" s="8">
        <f t="shared" si="4"/>
        <v>315</v>
      </c>
      <c r="B316" s="24" t="s">
        <v>237</v>
      </c>
      <c r="C316" s="27">
        <v>43195</v>
      </c>
      <c r="D316" s="4">
        <v>23</v>
      </c>
      <c r="E316" s="4" t="s">
        <v>19</v>
      </c>
      <c r="F316" s="4" t="s">
        <v>39</v>
      </c>
      <c r="G316" s="4" t="s">
        <v>21</v>
      </c>
      <c r="H316" s="44" t="s">
        <v>622</v>
      </c>
      <c r="I316" s="5" t="s">
        <v>188</v>
      </c>
      <c r="J316" s="36" t="s">
        <v>189</v>
      </c>
      <c r="K316"/>
      <c r="L316"/>
      <c r="M316"/>
      <c r="N316"/>
      <c r="O316"/>
      <c r="U316" s="2"/>
    </row>
    <row r="317" spans="1:30" ht="22.5" customHeight="1" x14ac:dyDescent="0.25">
      <c r="A317" s="8">
        <f t="shared" si="4"/>
        <v>316</v>
      </c>
      <c r="B317" s="24" t="s">
        <v>518</v>
      </c>
      <c r="C317" s="27">
        <v>42932</v>
      </c>
      <c r="D317" s="4">
        <v>45</v>
      </c>
      <c r="E317" s="4" t="s">
        <v>25</v>
      </c>
      <c r="F317" s="4" t="s">
        <v>39</v>
      </c>
      <c r="G317" s="4" t="s">
        <v>21</v>
      </c>
      <c r="H317" s="44" t="s">
        <v>620</v>
      </c>
      <c r="I317" s="5" t="s">
        <v>188</v>
      </c>
      <c r="J317" s="36" t="s">
        <v>189</v>
      </c>
      <c r="K317"/>
      <c r="L317"/>
      <c r="M317"/>
      <c r="N317"/>
      <c r="O317"/>
      <c r="U317" s="2"/>
    </row>
    <row r="318" spans="1:30" ht="22.5" customHeight="1" x14ac:dyDescent="0.25">
      <c r="A318" s="8">
        <f t="shared" si="4"/>
        <v>317</v>
      </c>
      <c r="B318" s="24" t="s">
        <v>297</v>
      </c>
      <c r="C318" s="27">
        <v>42411</v>
      </c>
      <c r="D318" s="4">
        <v>39</v>
      </c>
      <c r="E318" s="4" t="s">
        <v>25</v>
      </c>
      <c r="F318" s="4" t="s">
        <v>34</v>
      </c>
      <c r="G318" s="4" t="s">
        <v>21</v>
      </c>
      <c r="H318" s="44" t="s">
        <v>620</v>
      </c>
      <c r="I318" s="5" t="s">
        <v>188</v>
      </c>
      <c r="J318" s="36" t="s">
        <v>189</v>
      </c>
      <c r="K318"/>
      <c r="L318"/>
      <c r="M318"/>
      <c r="N318"/>
      <c r="O318"/>
      <c r="U318" s="2"/>
    </row>
    <row r="319" spans="1:30" ht="22.5" customHeight="1" x14ac:dyDescent="0.25">
      <c r="A319" s="8">
        <f t="shared" si="4"/>
        <v>318</v>
      </c>
      <c r="B319" s="24" t="s">
        <v>259</v>
      </c>
      <c r="C319" s="27">
        <v>42528</v>
      </c>
      <c r="D319" s="4">
        <v>47</v>
      </c>
      <c r="E319" s="4" t="s">
        <v>25</v>
      </c>
      <c r="F319" s="4" t="s">
        <v>39</v>
      </c>
      <c r="G319" s="4" t="s">
        <v>21</v>
      </c>
      <c r="H319" s="44" t="s">
        <v>621</v>
      </c>
      <c r="I319" s="5" t="s">
        <v>188</v>
      </c>
      <c r="J319" s="36" t="s">
        <v>189</v>
      </c>
      <c r="K319"/>
      <c r="L319"/>
      <c r="M319"/>
      <c r="N319"/>
      <c r="O319"/>
      <c r="U319" s="2"/>
    </row>
    <row r="320" spans="1:30" ht="22.5" customHeight="1" x14ac:dyDescent="0.25">
      <c r="A320" s="8">
        <f t="shared" si="4"/>
        <v>319</v>
      </c>
      <c r="B320" s="24" t="s">
        <v>239</v>
      </c>
      <c r="C320" s="27">
        <v>42726</v>
      </c>
      <c r="D320" s="4">
        <v>21</v>
      </c>
      <c r="E320" s="4" t="s">
        <v>19</v>
      </c>
      <c r="F320" s="4" t="s">
        <v>39</v>
      </c>
      <c r="G320" s="4" t="s">
        <v>21</v>
      </c>
      <c r="H320" s="44" t="s">
        <v>621</v>
      </c>
      <c r="I320" s="5" t="s">
        <v>188</v>
      </c>
      <c r="J320" s="36" t="s">
        <v>189</v>
      </c>
      <c r="K320" s="2"/>
      <c r="L320" s="2"/>
      <c r="M320" s="2"/>
      <c r="N320" s="2"/>
      <c r="O320" s="2"/>
      <c r="P320" s="2"/>
      <c r="Q320" s="2"/>
      <c r="R320" s="2"/>
      <c r="S320" s="2"/>
      <c r="T320" s="2"/>
      <c r="U320" s="2"/>
      <c r="V320" s="2"/>
      <c r="W320" s="2"/>
      <c r="X320" s="2"/>
      <c r="Y320" s="2"/>
      <c r="Z320" s="2"/>
      <c r="AA320" s="2"/>
      <c r="AB320" s="2"/>
      <c r="AC320" s="2"/>
      <c r="AD320" s="2"/>
    </row>
    <row r="321" spans="1:30" ht="22.5" customHeight="1" x14ac:dyDescent="0.25">
      <c r="A321" s="8">
        <f t="shared" si="4"/>
        <v>320</v>
      </c>
      <c r="B321" s="24" t="s">
        <v>421</v>
      </c>
      <c r="C321" s="27">
        <v>42335</v>
      </c>
      <c r="D321" s="4">
        <v>24</v>
      </c>
      <c r="E321" s="4" t="s">
        <v>25</v>
      </c>
      <c r="F321" s="4" t="s">
        <v>28</v>
      </c>
      <c r="G321" s="4" t="s">
        <v>21</v>
      </c>
      <c r="H321" s="44" t="s">
        <v>620</v>
      </c>
      <c r="I321" s="5" t="s">
        <v>188</v>
      </c>
      <c r="J321" s="36" t="s">
        <v>189</v>
      </c>
      <c r="K321" s="2"/>
      <c r="L321" s="2"/>
      <c r="M321" s="2"/>
      <c r="N321" s="2"/>
      <c r="O321" s="2"/>
      <c r="P321" s="2"/>
      <c r="Q321" s="2"/>
      <c r="R321" s="2"/>
      <c r="S321" s="2"/>
      <c r="T321" s="2"/>
      <c r="U321" s="2"/>
      <c r="V321" s="2"/>
      <c r="W321" s="2"/>
      <c r="X321" s="2"/>
      <c r="Y321" s="2"/>
      <c r="Z321" s="2"/>
      <c r="AA321" s="2"/>
      <c r="AB321" s="2"/>
      <c r="AC321" s="2"/>
      <c r="AD321" s="2"/>
    </row>
    <row r="322" spans="1:30" ht="22.5" customHeight="1" x14ac:dyDescent="0.25">
      <c r="A322" s="8">
        <f t="shared" si="4"/>
        <v>321</v>
      </c>
      <c r="B322" s="24" t="s">
        <v>529</v>
      </c>
      <c r="C322" s="27">
        <v>42227</v>
      </c>
      <c r="D322" s="4">
        <v>35</v>
      </c>
      <c r="E322" s="4" t="s">
        <v>19</v>
      </c>
      <c r="F322" s="4" t="s">
        <v>28</v>
      </c>
      <c r="G322" s="4" t="s">
        <v>21</v>
      </c>
      <c r="H322" s="44" t="s">
        <v>622</v>
      </c>
      <c r="I322" s="5" t="s">
        <v>188</v>
      </c>
      <c r="J322" s="36" t="s">
        <v>189</v>
      </c>
      <c r="K322" s="2"/>
      <c r="L322" s="2"/>
      <c r="M322" s="2"/>
      <c r="N322" s="2"/>
      <c r="O322" s="2"/>
      <c r="P322" s="2"/>
      <c r="Q322" s="2"/>
      <c r="R322" s="2"/>
      <c r="S322" s="2"/>
      <c r="T322" s="2"/>
      <c r="U322" s="2"/>
      <c r="V322" s="2"/>
      <c r="W322" s="2"/>
      <c r="X322" s="2"/>
      <c r="Y322" s="2"/>
      <c r="Z322" s="2"/>
      <c r="AA322" s="2"/>
      <c r="AB322" s="2"/>
      <c r="AC322" s="2"/>
      <c r="AD322" s="2"/>
    </row>
    <row r="323" spans="1:30" ht="22.5" customHeight="1" x14ac:dyDescent="0.25">
      <c r="A323" s="8">
        <f t="shared" ref="A323:A386" si="5">A322+1</f>
        <v>322</v>
      </c>
      <c r="B323" s="24" t="s">
        <v>279</v>
      </c>
      <c r="C323" s="27">
        <v>41443</v>
      </c>
      <c r="D323" s="4">
        <v>32</v>
      </c>
      <c r="E323" s="4" t="s">
        <v>25</v>
      </c>
      <c r="F323" s="4" t="s">
        <v>20</v>
      </c>
      <c r="G323" s="4" t="s">
        <v>21</v>
      </c>
      <c r="H323" s="44" t="s">
        <v>621</v>
      </c>
      <c r="I323" s="5" t="s">
        <v>188</v>
      </c>
      <c r="J323" s="36" t="s">
        <v>189</v>
      </c>
      <c r="K323" s="2"/>
      <c r="L323" s="2"/>
      <c r="M323" s="2"/>
      <c r="N323" s="2"/>
      <c r="O323" s="2"/>
      <c r="P323" s="2"/>
      <c r="Q323" s="2"/>
      <c r="R323" s="2"/>
      <c r="S323" s="2"/>
      <c r="T323" s="2"/>
      <c r="U323" s="2"/>
      <c r="V323" s="2"/>
      <c r="W323" s="2"/>
      <c r="X323" s="2"/>
      <c r="Y323" s="2"/>
      <c r="Z323" s="2"/>
      <c r="AA323" s="2"/>
      <c r="AB323" s="2"/>
      <c r="AC323" s="2"/>
      <c r="AD323" s="2"/>
    </row>
    <row r="324" spans="1:30" ht="22.5" customHeight="1" x14ac:dyDescent="0.25">
      <c r="A324" s="8">
        <f t="shared" si="5"/>
        <v>323</v>
      </c>
      <c r="B324" s="24" t="s">
        <v>201</v>
      </c>
      <c r="C324" s="27">
        <v>41037</v>
      </c>
      <c r="D324" s="4">
        <v>57</v>
      </c>
      <c r="E324" s="4" t="s">
        <v>25</v>
      </c>
      <c r="F324" s="4" t="s">
        <v>61</v>
      </c>
      <c r="G324" s="4" t="s">
        <v>21</v>
      </c>
      <c r="H324" s="44" t="s">
        <v>622</v>
      </c>
      <c r="I324" s="5" t="s">
        <v>188</v>
      </c>
      <c r="J324" s="36" t="s">
        <v>189</v>
      </c>
      <c r="K324" s="2"/>
      <c r="L324" s="2"/>
      <c r="M324" s="2"/>
      <c r="N324" s="2"/>
      <c r="O324" s="2"/>
      <c r="P324" s="2"/>
      <c r="Q324" s="2"/>
      <c r="R324" s="2"/>
      <c r="S324" s="2"/>
      <c r="T324" s="2"/>
      <c r="U324" s="2"/>
      <c r="V324" s="2"/>
      <c r="W324" s="2"/>
      <c r="X324" s="2"/>
      <c r="Y324" s="2"/>
      <c r="Z324" s="2"/>
      <c r="AA324" s="2"/>
      <c r="AB324" s="2"/>
      <c r="AC324" s="2"/>
      <c r="AD324" s="2"/>
    </row>
    <row r="325" spans="1:30" ht="22.5" customHeight="1" x14ac:dyDescent="0.25">
      <c r="A325" s="8">
        <f t="shared" si="5"/>
        <v>324</v>
      </c>
      <c r="B325" s="24" t="s">
        <v>266</v>
      </c>
      <c r="C325" s="27">
        <v>40613</v>
      </c>
      <c r="D325" s="4">
        <v>52</v>
      </c>
      <c r="E325" s="4" t="s">
        <v>25</v>
      </c>
      <c r="F325" s="4" t="s">
        <v>86</v>
      </c>
      <c r="G325" s="4" t="s">
        <v>21</v>
      </c>
      <c r="H325" s="44" t="s">
        <v>622</v>
      </c>
      <c r="I325" s="5" t="s">
        <v>188</v>
      </c>
      <c r="J325" s="36" t="s">
        <v>189</v>
      </c>
      <c r="K325" s="2"/>
      <c r="L325" s="2"/>
      <c r="M325" s="2"/>
      <c r="N325" s="2"/>
      <c r="O325" s="2"/>
      <c r="P325" s="2"/>
      <c r="Q325" s="2"/>
      <c r="R325" s="2"/>
      <c r="S325" s="2"/>
      <c r="T325" s="2"/>
      <c r="U325" s="2"/>
      <c r="V325" s="2"/>
      <c r="W325" s="2"/>
      <c r="X325" s="2"/>
      <c r="Y325" s="2"/>
      <c r="Z325" s="2"/>
      <c r="AA325" s="2"/>
      <c r="AB325" s="2"/>
      <c r="AC325" s="2"/>
      <c r="AD325" s="2"/>
    </row>
    <row r="326" spans="1:30" ht="22.5" customHeight="1" x14ac:dyDescent="0.25">
      <c r="A326" s="8">
        <f t="shared" si="5"/>
        <v>325</v>
      </c>
      <c r="B326" s="24" t="s">
        <v>187</v>
      </c>
      <c r="C326" s="27">
        <v>40279</v>
      </c>
      <c r="D326" s="4">
        <v>49</v>
      </c>
      <c r="E326" s="4" t="s">
        <v>19</v>
      </c>
      <c r="F326" s="4" t="s">
        <v>61</v>
      </c>
      <c r="G326" s="4" t="s">
        <v>21</v>
      </c>
      <c r="H326" s="44" t="s">
        <v>620</v>
      </c>
      <c r="I326" s="5" t="s">
        <v>188</v>
      </c>
      <c r="J326" s="36" t="s">
        <v>189</v>
      </c>
      <c r="K326" s="2"/>
      <c r="L326" s="2"/>
      <c r="M326" s="2"/>
      <c r="N326" s="2"/>
      <c r="O326" s="2"/>
      <c r="P326" s="2"/>
      <c r="Q326" s="2"/>
      <c r="R326" s="2"/>
      <c r="S326" s="2"/>
      <c r="T326" s="2"/>
      <c r="U326" s="2"/>
      <c r="V326" s="2"/>
      <c r="W326" s="2"/>
      <c r="X326" s="2"/>
      <c r="Y326" s="2"/>
      <c r="Z326" s="2"/>
      <c r="AA326" s="2"/>
      <c r="AB326" s="2"/>
      <c r="AC326" s="2"/>
      <c r="AD326" s="2"/>
    </row>
    <row r="327" spans="1:30" ht="22.5" customHeight="1" x14ac:dyDescent="0.25">
      <c r="A327" s="8">
        <f t="shared" si="5"/>
        <v>326</v>
      </c>
      <c r="B327" s="24" t="s">
        <v>451</v>
      </c>
      <c r="C327" s="27">
        <v>40575</v>
      </c>
      <c r="D327" s="4">
        <v>51</v>
      </c>
      <c r="E327" s="4" t="s">
        <v>19</v>
      </c>
      <c r="F327" s="4" t="s">
        <v>20</v>
      </c>
      <c r="G327" s="4" t="s">
        <v>21</v>
      </c>
      <c r="H327" s="44" t="s">
        <v>620</v>
      </c>
      <c r="I327" s="5" t="s">
        <v>188</v>
      </c>
      <c r="J327" s="36" t="s">
        <v>189</v>
      </c>
      <c r="K327" s="2"/>
      <c r="L327" s="2"/>
      <c r="M327" s="2"/>
      <c r="N327" s="2"/>
      <c r="O327" s="2"/>
      <c r="P327" s="2"/>
      <c r="Q327" s="2"/>
      <c r="R327" s="2"/>
      <c r="S327" s="2"/>
      <c r="T327" s="2"/>
      <c r="U327" s="2"/>
      <c r="V327" s="2"/>
      <c r="W327" s="2"/>
      <c r="X327" s="2"/>
      <c r="Y327" s="2"/>
      <c r="Z327" s="2"/>
      <c r="AA327" s="2"/>
      <c r="AB327" s="2"/>
      <c r="AC327" s="2"/>
      <c r="AD327" s="2"/>
    </row>
    <row r="328" spans="1:30" ht="22.5" customHeight="1" x14ac:dyDescent="0.25">
      <c r="A328" s="8">
        <f t="shared" si="5"/>
        <v>327</v>
      </c>
      <c r="B328" s="24" t="s">
        <v>238</v>
      </c>
      <c r="C328" s="27">
        <v>40621</v>
      </c>
      <c r="D328" s="4">
        <v>52</v>
      </c>
      <c r="E328" s="4" t="s">
        <v>19</v>
      </c>
      <c r="F328" s="4" t="s">
        <v>86</v>
      </c>
      <c r="G328" s="4" t="s">
        <v>21</v>
      </c>
      <c r="H328" s="44" t="s">
        <v>621</v>
      </c>
      <c r="I328" s="5" t="s">
        <v>188</v>
      </c>
      <c r="J328" s="36" t="s">
        <v>189</v>
      </c>
      <c r="K328" s="2"/>
      <c r="L328" s="2"/>
      <c r="M328" s="2"/>
      <c r="N328" s="2"/>
      <c r="O328" s="2"/>
      <c r="P328" s="2"/>
      <c r="Q328" s="2"/>
      <c r="R328" s="2"/>
      <c r="S328" s="2"/>
      <c r="T328" s="2"/>
      <c r="U328" s="2"/>
      <c r="V328" s="2"/>
      <c r="W328" s="2"/>
      <c r="X328" s="2"/>
      <c r="Y328" s="2"/>
      <c r="Z328" s="2"/>
      <c r="AA328" s="2"/>
      <c r="AB328" s="2"/>
      <c r="AC328" s="2"/>
      <c r="AD328" s="2"/>
    </row>
    <row r="329" spans="1:30" ht="22.5" customHeight="1" x14ac:dyDescent="0.25">
      <c r="A329" s="8">
        <f t="shared" si="5"/>
        <v>328</v>
      </c>
      <c r="B329" s="24" t="s">
        <v>258</v>
      </c>
      <c r="C329" s="27">
        <v>40374</v>
      </c>
      <c r="D329" s="4">
        <v>68</v>
      </c>
      <c r="E329" s="4" t="s">
        <v>19</v>
      </c>
      <c r="F329" s="4" t="s">
        <v>20</v>
      </c>
      <c r="G329" s="4" t="s">
        <v>21</v>
      </c>
      <c r="H329" s="44" t="s">
        <v>621</v>
      </c>
      <c r="I329" s="5" t="s">
        <v>188</v>
      </c>
      <c r="J329" s="36" t="s">
        <v>189</v>
      </c>
      <c r="K329" s="2"/>
      <c r="L329" s="2"/>
      <c r="M329" s="2"/>
      <c r="N329" s="2"/>
      <c r="O329" s="2"/>
      <c r="P329" s="2"/>
      <c r="Q329" s="2"/>
      <c r="R329" s="2"/>
      <c r="S329" s="2"/>
      <c r="T329" s="2"/>
      <c r="U329" s="2"/>
      <c r="V329" s="2"/>
      <c r="W329" s="2"/>
      <c r="X329" s="2"/>
      <c r="Y329" s="2"/>
      <c r="Z329" s="2"/>
      <c r="AA329" s="2"/>
      <c r="AB329" s="2"/>
      <c r="AC329" s="2"/>
      <c r="AD329" s="2"/>
    </row>
    <row r="330" spans="1:30" ht="22.5" customHeight="1" x14ac:dyDescent="0.25">
      <c r="A330" s="8">
        <f t="shared" si="5"/>
        <v>329</v>
      </c>
      <c r="B330" s="24" t="s">
        <v>236</v>
      </c>
      <c r="C330" s="27">
        <v>40673</v>
      </c>
      <c r="D330" s="4">
        <v>44</v>
      </c>
      <c r="E330" s="4" t="s">
        <v>19</v>
      </c>
      <c r="F330" s="4" t="s">
        <v>32</v>
      </c>
      <c r="G330" s="4" t="s">
        <v>45</v>
      </c>
      <c r="H330" s="44" t="s">
        <v>620</v>
      </c>
      <c r="I330" s="5" t="s">
        <v>188</v>
      </c>
      <c r="J330" s="36" t="s">
        <v>189</v>
      </c>
      <c r="K330" s="2"/>
      <c r="L330" s="2"/>
      <c r="M330" s="2"/>
      <c r="N330" s="2"/>
      <c r="O330" s="2"/>
      <c r="P330" s="2"/>
      <c r="Q330" s="2"/>
      <c r="R330" s="2"/>
      <c r="S330" s="2"/>
      <c r="T330" s="2"/>
      <c r="U330" s="2"/>
      <c r="V330" s="2"/>
      <c r="W330" s="2"/>
      <c r="X330" s="2"/>
      <c r="Y330" s="2"/>
      <c r="Z330" s="2"/>
      <c r="AA330" s="2"/>
      <c r="AB330" s="2"/>
      <c r="AC330" s="2"/>
      <c r="AD330" s="2"/>
    </row>
    <row r="331" spans="1:30" ht="22.5" customHeight="1" x14ac:dyDescent="0.25">
      <c r="A331" s="8">
        <f t="shared" si="5"/>
        <v>330</v>
      </c>
      <c r="B331" s="24" t="s">
        <v>375</v>
      </c>
      <c r="C331" s="27">
        <v>42929</v>
      </c>
      <c r="D331" s="4">
        <v>24</v>
      </c>
      <c r="E331" s="4" t="s">
        <v>19</v>
      </c>
      <c r="F331" s="4" t="s">
        <v>28</v>
      </c>
      <c r="G331" s="4" t="s">
        <v>21</v>
      </c>
      <c r="H331" s="44" t="s">
        <v>622</v>
      </c>
      <c r="I331" s="5" t="s">
        <v>211</v>
      </c>
      <c r="J331" s="36" t="s">
        <v>373</v>
      </c>
      <c r="K331" s="2"/>
      <c r="L331" s="2"/>
      <c r="M331" s="2"/>
      <c r="N331" s="2"/>
      <c r="O331" s="2"/>
      <c r="P331" s="2"/>
      <c r="Q331" s="2"/>
      <c r="R331" s="2"/>
      <c r="S331" s="2"/>
      <c r="T331" s="2"/>
      <c r="U331" s="2"/>
      <c r="V331" s="2"/>
      <c r="W331" s="2"/>
      <c r="X331" s="2"/>
      <c r="Y331" s="2"/>
      <c r="Z331" s="2"/>
      <c r="AA331" s="2"/>
      <c r="AB331" s="2"/>
      <c r="AC331" s="2"/>
      <c r="AD331" s="2"/>
    </row>
    <row r="332" spans="1:30" ht="22.5" customHeight="1" x14ac:dyDescent="0.25">
      <c r="A332" s="8">
        <f t="shared" si="5"/>
        <v>331</v>
      </c>
      <c r="B332" s="24" t="s">
        <v>372</v>
      </c>
      <c r="C332" s="27">
        <v>42710</v>
      </c>
      <c r="D332" s="4">
        <v>42</v>
      </c>
      <c r="E332" s="4" t="s">
        <v>25</v>
      </c>
      <c r="F332" s="4" t="s">
        <v>20</v>
      </c>
      <c r="G332" s="4" t="s">
        <v>21</v>
      </c>
      <c r="H332" s="44" t="s">
        <v>621</v>
      </c>
      <c r="I332" s="5" t="s">
        <v>211</v>
      </c>
      <c r="J332" s="36" t="s">
        <v>373</v>
      </c>
      <c r="K332" s="2"/>
      <c r="L332" s="2"/>
      <c r="M332" s="2"/>
      <c r="N332" s="2"/>
      <c r="O332" s="2"/>
      <c r="P332" s="2"/>
      <c r="Q332" s="2"/>
      <c r="R332" s="2"/>
      <c r="S332" s="2"/>
      <c r="T332" s="2"/>
      <c r="U332" s="2"/>
      <c r="V332" s="2"/>
      <c r="W332" s="2"/>
      <c r="X332" s="2"/>
      <c r="Y332" s="2"/>
      <c r="Z332" s="2"/>
      <c r="AA332" s="2"/>
      <c r="AB332" s="2"/>
      <c r="AC332" s="2"/>
      <c r="AD332" s="2"/>
    </row>
    <row r="333" spans="1:30" ht="22.5" customHeight="1" x14ac:dyDescent="0.25">
      <c r="A333" s="8">
        <f t="shared" si="5"/>
        <v>332</v>
      </c>
      <c r="B333" s="24" t="s">
        <v>374</v>
      </c>
      <c r="C333" s="27">
        <v>41882</v>
      </c>
      <c r="D333" s="4">
        <v>29</v>
      </c>
      <c r="E333" s="4" t="s">
        <v>25</v>
      </c>
      <c r="F333" s="4" t="s">
        <v>42</v>
      </c>
      <c r="G333" s="4" t="s">
        <v>21</v>
      </c>
      <c r="H333" s="44" t="s">
        <v>622</v>
      </c>
      <c r="I333" s="5" t="s">
        <v>211</v>
      </c>
      <c r="J333" s="36" t="s">
        <v>373</v>
      </c>
      <c r="K333" s="2"/>
      <c r="L333" s="2"/>
      <c r="M333" s="2"/>
      <c r="N333" s="2"/>
      <c r="O333" s="2"/>
      <c r="P333" s="2"/>
      <c r="Q333" s="2"/>
      <c r="R333" s="2"/>
      <c r="S333" s="2"/>
      <c r="T333" s="2"/>
      <c r="U333" s="2"/>
      <c r="V333" s="2"/>
      <c r="W333" s="2"/>
      <c r="X333" s="2"/>
      <c r="Y333" s="2"/>
      <c r="Z333" s="2"/>
      <c r="AA333" s="2"/>
      <c r="AB333" s="2"/>
      <c r="AC333" s="2"/>
      <c r="AD333" s="2"/>
    </row>
    <row r="334" spans="1:30" ht="22.5" customHeight="1" x14ac:dyDescent="0.25">
      <c r="A334" s="8">
        <f t="shared" si="5"/>
        <v>333</v>
      </c>
      <c r="B334" s="24" t="s">
        <v>377</v>
      </c>
      <c r="C334" s="27">
        <v>40495</v>
      </c>
      <c r="D334" s="4">
        <v>64</v>
      </c>
      <c r="E334" s="4" t="s">
        <v>25</v>
      </c>
      <c r="F334" s="4" t="s">
        <v>37</v>
      </c>
      <c r="G334" s="4" t="s">
        <v>21</v>
      </c>
      <c r="H334" s="44" t="s">
        <v>622</v>
      </c>
      <c r="I334" s="5" t="s">
        <v>211</v>
      </c>
      <c r="J334" s="36" t="s">
        <v>373</v>
      </c>
      <c r="K334" s="2"/>
      <c r="L334" s="2"/>
      <c r="M334" s="2"/>
      <c r="N334" s="2"/>
      <c r="O334" s="2"/>
      <c r="P334" s="2"/>
      <c r="Q334" s="2"/>
      <c r="R334" s="2"/>
      <c r="S334" s="2"/>
      <c r="T334" s="2"/>
      <c r="U334" s="2"/>
      <c r="V334" s="2"/>
      <c r="W334" s="2"/>
      <c r="X334" s="2"/>
      <c r="Y334" s="2"/>
      <c r="Z334" s="2"/>
      <c r="AA334" s="2"/>
      <c r="AB334" s="2"/>
      <c r="AC334" s="2"/>
      <c r="AD334" s="2"/>
    </row>
    <row r="335" spans="1:30" ht="22.5" customHeight="1" x14ac:dyDescent="0.25">
      <c r="A335" s="8">
        <f t="shared" si="5"/>
        <v>334</v>
      </c>
      <c r="B335" s="24" t="s">
        <v>376</v>
      </c>
      <c r="C335" s="27">
        <v>40223</v>
      </c>
      <c r="D335" s="4">
        <v>54</v>
      </c>
      <c r="E335" s="4" t="s">
        <v>19</v>
      </c>
      <c r="F335" s="4" t="s">
        <v>26</v>
      </c>
      <c r="G335" s="4" t="s">
        <v>21</v>
      </c>
      <c r="H335" s="44" t="s">
        <v>620</v>
      </c>
      <c r="I335" s="5" t="s">
        <v>211</v>
      </c>
      <c r="J335" s="36" t="s">
        <v>373</v>
      </c>
      <c r="K335" s="2"/>
      <c r="L335" s="2"/>
      <c r="M335" s="2"/>
      <c r="N335" s="2"/>
      <c r="O335" s="2"/>
      <c r="P335" s="2"/>
      <c r="Q335" s="2"/>
      <c r="R335" s="2"/>
      <c r="S335" s="2"/>
      <c r="T335" s="2"/>
      <c r="U335" s="2"/>
      <c r="V335" s="2"/>
      <c r="W335" s="2"/>
      <c r="X335" s="2"/>
      <c r="Y335" s="2"/>
      <c r="Z335" s="2"/>
      <c r="AA335" s="2"/>
      <c r="AB335" s="2"/>
      <c r="AC335" s="2"/>
      <c r="AD335" s="2"/>
    </row>
    <row r="336" spans="1:30" ht="22.5" customHeight="1" x14ac:dyDescent="0.25">
      <c r="A336" s="8">
        <f t="shared" si="5"/>
        <v>335</v>
      </c>
      <c r="B336" s="24" t="s">
        <v>571</v>
      </c>
      <c r="C336" s="29">
        <v>42516</v>
      </c>
      <c r="D336" s="16">
        <v>40</v>
      </c>
      <c r="E336" s="16" t="s">
        <v>19</v>
      </c>
      <c r="F336" s="16" t="s">
        <v>50</v>
      </c>
      <c r="G336" s="16" t="s">
        <v>21</v>
      </c>
      <c r="H336" s="44" t="s">
        <v>620</v>
      </c>
      <c r="I336" s="17" t="s">
        <v>580</v>
      </c>
      <c r="J336" s="39" t="s">
        <v>583</v>
      </c>
      <c r="K336" s="2"/>
      <c r="L336" s="2"/>
      <c r="M336" s="2"/>
      <c r="N336" s="2"/>
      <c r="O336" s="2"/>
      <c r="P336" s="2"/>
      <c r="Q336" s="2"/>
      <c r="R336" s="2"/>
      <c r="S336" s="2"/>
      <c r="T336" s="2"/>
      <c r="U336" s="2"/>
      <c r="V336" s="2"/>
      <c r="W336" s="2"/>
      <c r="X336" s="2"/>
      <c r="Y336" s="2"/>
      <c r="Z336" s="2"/>
      <c r="AA336" s="2"/>
      <c r="AB336" s="2"/>
      <c r="AC336" s="2"/>
      <c r="AD336" s="2"/>
    </row>
    <row r="337" spans="1:30" ht="22.5" customHeight="1" x14ac:dyDescent="0.25">
      <c r="A337" s="8">
        <f t="shared" si="5"/>
        <v>336</v>
      </c>
      <c r="B337" s="24" t="s">
        <v>569</v>
      </c>
      <c r="C337" s="29">
        <v>41929</v>
      </c>
      <c r="D337" s="16">
        <v>30</v>
      </c>
      <c r="E337" s="16" t="s">
        <v>25</v>
      </c>
      <c r="F337" s="16" t="s">
        <v>50</v>
      </c>
      <c r="G337" s="16" t="s">
        <v>21</v>
      </c>
      <c r="H337" s="44" t="s">
        <v>621</v>
      </c>
      <c r="I337" s="17" t="s">
        <v>580</v>
      </c>
      <c r="J337" s="39" t="s">
        <v>583</v>
      </c>
      <c r="K337" s="2"/>
      <c r="L337" s="2"/>
      <c r="M337" s="2"/>
      <c r="N337" s="2"/>
      <c r="O337" s="2"/>
      <c r="P337" s="2"/>
      <c r="Q337" s="2"/>
      <c r="R337" s="2"/>
      <c r="S337" s="2"/>
      <c r="T337" s="2"/>
      <c r="U337" s="2"/>
      <c r="V337" s="2"/>
      <c r="W337" s="2"/>
      <c r="X337" s="2"/>
      <c r="Y337" s="2"/>
      <c r="Z337" s="2"/>
      <c r="AA337" s="2"/>
      <c r="AB337" s="2"/>
      <c r="AC337" s="2"/>
      <c r="AD337" s="2"/>
    </row>
    <row r="338" spans="1:30" ht="22.5" customHeight="1" x14ac:dyDescent="0.25">
      <c r="A338" s="8">
        <f t="shared" si="5"/>
        <v>337</v>
      </c>
      <c r="B338" s="24" t="s">
        <v>572</v>
      </c>
      <c r="C338" s="29">
        <v>40073</v>
      </c>
      <c r="D338" s="16">
        <v>38</v>
      </c>
      <c r="E338" s="16" t="s">
        <v>19</v>
      </c>
      <c r="F338" s="16" t="s">
        <v>37</v>
      </c>
      <c r="G338" s="16" t="s">
        <v>21</v>
      </c>
      <c r="H338" s="44" t="s">
        <v>621</v>
      </c>
      <c r="I338" s="17" t="s">
        <v>580</v>
      </c>
      <c r="J338" s="39" t="s">
        <v>583</v>
      </c>
      <c r="K338" s="2"/>
      <c r="L338" s="2"/>
      <c r="M338" s="2"/>
      <c r="N338" s="2"/>
      <c r="O338" s="2"/>
      <c r="P338" s="2"/>
      <c r="Q338" s="2"/>
      <c r="R338" s="2"/>
      <c r="S338" s="2"/>
      <c r="T338" s="2"/>
      <c r="U338" s="2"/>
      <c r="V338" s="2"/>
      <c r="W338" s="2"/>
      <c r="X338" s="2"/>
      <c r="Y338" s="2"/>
      <c r="Z338" s="2"/>
      <c r="AA338" s="2"/>
      <c r="AB338" s="2"/>
      <c r="AC338" s="2"/>
      <c r="AD338" s="2"/>
    </row>
    <row r="339" spans="1:30" ht="22.5" customHeight="1" x14ac:dyDescent="0.25">
      <c r="A339" s="8">
        <f t="shared" si="5"/>
        <v>338</v>
      </c>
      <c r="B339" s="24" t="s">
        <v>535</v>
      </c>
      <c r="C339" s="27">
        <v>41336</v>
      </c>
      <c r="D339" s="4">
        <v>40</v>
      </c>
      <c r="E339" s="4" t="s">
        <v>25</v>
      </c>
      <c r="F339" s="4" t="s">
        <v>32</v>
      </c>
      <c r="G339" s="4" t="s">
        <v>21</v>
      </c>
      <c r="H339" s="44" t="s">
        <v>620</v>
      </c>
      <c r="I339" s="5" t="s">
        <v>160</v>
      </c>
      <c r="J339" s="36" t="s">
        <v>161</v>
      </c>
      <c r="K339" s="2"/>
      <c r="L339" s="2"/>
      <c r="M339" s="2"/>
      <c r="N339" s="2"/>
      <c r="O339" s="2"/>
      <c r="P339" s="2"/>
      <c r="Q339" s="2"/>
      <c r="R339" s="2"/>
      <c r="S339" s="2"/>
      <c r="T339" s="2"/>
      <c r="U339" s="2"/>
      <c r="V339" s="2"/>
      <c r="W339" s="2"/>
      <c r="X339" s="2"/>
      <c r="Y339" s="2"/>
      <c r="Z339" s="2"/>
      <c r="AA339" s="2"/>
      <c r="AB339" s="2"/>
      <c r="AC339" s="2"/>
      <c r="AD339" s="2"/>
    </row>
    <row r="340" spans="1:30" ht="22.5" customHeight="1" x14ac:dyDescent="0.25">
      <c r="A340" s="8">
        <f t="shared" si="5"/>
        <v>339</v>
      </c>
      <c r="B340" s="24" t="s">
        <v>294</v>
      </c>
      <c r="C340" s="27">
        <v>40520</v>
      </c>
      <c r="D340" s="4">
        <v>58</v>
      </c>
      <c r="E340" s="4" t="s">
        <v>25</v>
      </c>
      <c r="F340" s="4" t="s">
        <v>39</v>
      </c>
      <c r="G340" s="4" t="s">
        <v>21</v>
      </c>
      <c r="H340" s="44" t="s">
        <v>622</v>
      </c>
      <c r="I340" s="5" t="s">
        <v>160</v>
      </c>
      <c r="J340" s="36" t="s">
        <v>161</v>
      </c>
      <c r="K340" s="2"/>
      <c r="L340" s="2"/>
      <c r="M340" s="2"/>
      <c r="N340" s="2"/>
      <c r="O340" s="2"/>
      <c r="P340" s="2"/>
      <c r="Q340" s="2"/>
      <c r="R340" s="2"/>
      <c r="S340" s="2"/>
      <c r="T340" s="2"/>
      <c r="U340" s="2"/>
      <c r="V340" s="2"/>
      <c r="W340" s="2"/>
      <c r="X340" s="2"/>
      <c r="Y340" s="2"/>
      <c r="Z340" s="2"/>
      <c r="AA340" s="2"/>
      <c r="AB340" s="2"/>
      <c r="AC340" s="2"/>
      <c r="AD340" s="2"/>
    </row>
    <row r="341" spans="1:30" ht="22.5" customHeight="1" x14ac:dyDescent="0.25">
      <c r="A341" s="8">
        <f t="shared" si="5"/>
        <v>340</v>
      </c>
      <c r="B341" s="24" t="s">
        <v>159</v>
      </c>
      <c r="C341" s="27">
        <v>39038</v>
      </c>
      <c r="D341" s="4">
        <v>50</v>
      </c>
      <c r="E341" s="4" t="s">
        <v>25</v>
      </c>
      <c r="F341" s="4" t="s">
        <v>37</v>
      </c>
      <c r="G341" s="4" t="s">
        <v>21</v>
      </c>
      <c r="H341" s="44" t="s">
        <v>621</v>
      </c>
      <c r="I341" s="5" t="s">
        <v>160</v>
      </c>
      <c r="J341" s="36" t="s">
        <v>161</v>
      </c>
      <c r="K341" s="2"/>
      <c r="L341" s="2"/>
      <c r="M341" s="2"/>
      <c r="N341" s="2"/>
      <c r="O341" s="2"/>
      <c r="P341" s="2"/>
      <c r="Q341" s="2"/>
      <c r="R341" s="2"/>
      <c r="S341" s="2"/>
      <c r="T341" s="2"/>
      <c r="U341" s="2"/>
      <c r="V341" s="2"/>
      <c r="W341" s="2"/>
      <c r="X341" s="2"/>
      <c r="Y341" s="2"/>
      <c r="Z341" s="2"/>
      <c r="AA341" s="2"/>
      <c r="AB341" s="2"/>
      <c r="AC341" s="2"/>
      <c r="AD341" s="2"/>
    </row>
    <row r="342" spans="1:30" ht="22.5" customHeight="1" x14ac:dyDescent="0.25">
      <c r="A342" s="8">
        <f t="shared" si="5"/>
        <v>341</v>
      </c>
      <c r="B342" s="24" t="s">
        <v>296</v>
      </c>
      <c r="C342" s="27">
        <v>37905</v>
      </c>
      <c r="D342" s="4">
        <v>52</v>
      </c>
      <c r="E342" s="4" t="s">
        <v>25</v>
      </c>
      <c r="F342" s="4" t="s">
        <v>26</v>
      </c>
      <c r="G342" s="4" t="s">
        <v>21</v>
      </c>
      <c r="H342" s="44" t="s">
        <v>622</v>
      </c>
      <c r="I342" s="5" t="s">
        <v>160</v>
      </c>
      <c r="J342" s="36" t="s">
        <v>161</v>
      </c>
      <c r="K342" s="2"/>
      <c r="L342" s="2"/>
      <c r="M342" s="2"/>
      <c r="N342" s="2"/>
      <c r="O342" s="2"/>
      <c r="P342" s="2"/>
      <c r="Q342" s="2"/>
      <c r="R342" s="2"/>
      <c r="S342" s="2"/>
      <c r="T342" s="2"/>
      <c r="U342" s="2"/>
      <c r="V342" s="2"/>
      <c r="W342" s="2"/>
      <c r="X342" s="2"/>
      <c r="Y342" s="2"/>
      <c r="Z342" s="2"/>
      <c r="AA342" s="2"/>
      <c r="AB342" s="2"/>
      <c r="AC342" s="2"/>
      <c r="AD342" s="2"/>
    </row>
    <row r="343" spans="1:30" ht="22.5" customHeight="1" x14ac:dyDescent="0.25">
      <c r="A343" s="8">
        <f t="shared" si="5"/>
        <v>342</v>
      </c>
      <c r="B343" s="24" t="s">
        <v>261</v>
      </c>
      <c r="C343" s="27">
        <v>39421</v>
      </c>
      <c r="D343" s="4">
        <v>60</v>
      </c>
      <c r="E343" s="4" t="s">
        <v>25</v>
      </c>
      <c r="F343" s="4" t="s">
        <v>26</v>
      </c>
      <c r="G343" s="4" t="s">
        <v>21</v>
      </c>
      <c r="H343" s="44" t="s">
        <v>622</v>
      </c>
      <c r="I343" s="5" t="s">
        <v>160</v>
      </c>
      <c r="J343" s="36" t="s">
        <v>161</v>
      </c>
      <c r="K343" s="2"/>
      <c r="L343" s="2"/>
      <c r="M343" s="2"/>
      <c r="N343" s="2"/>
      <c r="O343" s="2"/>
      <c r="P343" s="2"/>
      <c r="Q343" s="2"/>
      <c r="R343" s="2"/>
      <c r="S343" s="2"/>
      <c r="T343" s="2"/>
      <c r="U343" s="2"/>
      <c r="V343" s="2"/>
      <c r="W343" s="2"/>
      <c r="X343" s="2"/>
      <c r="Y343" s="2"/>
      <c r="Z343" s="2"/>
      <c r="AA343" s="2"/>
      <c r="AB343" s="2"/>
      <c r="AC343" s="2"/>
      <c r="AD343" s="2"/>
    </row>
    <row r="344" spans="1:30" ht="22.5" customHeight="1" x14ac:dyDescent="0.25">
      <c r="A344" s="8">
        <f t="shared" si="5"/>
        <v>343</v>
      </c>
      <c r="B344" s="24" t="s">
        <v>263</v>
      </c>
      <c r="C344" s="27">
        <v>38417</v>
      </c>
      <c r="D344" s="4">
        <v>58</v>
      </c>
      <c r="E344" s="4" t="s">
        <v>25</v>
      </c>
      <c r="F344" s="4" t="s">
        <v>26</v>
      </c>
      <c r="G344" s="4" t="s">
        <v>21</v>
      </c>
      <c r="H344" s="44" t="s">
        <v>620</v>
      </c>
      <c r="I344" s="5" t="s">
        <v>160</v>
      </c>
      <c r="J344" s="36" t="s">
        <v>161</v>
      </c>
      <c r="K344" s="2"/>
      <c r="L344" s="2"/>
      <c r="M344" s="2"/>
      <c r="N344" s="2"/>
      <c r="O344" s="2"/>
      <c r="P344" s="2"/>
      <c r="Q344" s="2"/>
      <c r="R344" s="2"/>
      <c r="S344" s="2"/>
      <c r="T344" s="2"/>
      <c r="U344" s="2"/>
      <c r="V344" s="2"/>
      <c r="W344" s="2"/>
      <c r="X344" s="2"/>
      <c r="Y344" s="2"/>
      <c r="Z344" s="2"/>
      <c r="AA344" s="2"/>
      <c r="AB344" s="2"/>
      <c r="AC344" s="2"/>
      <c r="AD344" s="2"/>
    </row>
    <row r="345" spans="1:30" ht="22.5" customHeight="1" x14ac:dyDescent="0.25">
      <c r="A345" s="8">
        <f t="shared" si="5"/>
        <v>344</v>
      </c>
      <c r="B345" s="24" t="s">
        <v>265</v>
      </c>
      <c r="C345" s="27">
        <v>38346</v>
      </c>
      <c r="D345" s="4">
        <v>65</v>
      </c>
      <c r="E345" s="4" t="s">
        <v>25</v>
      </c>
      <c r="F345" s="4" t="s">
        <v>37</v>
      </c>
      <c r="G345" s="4" t="s">
        <v>21</v>
      </c>
      <c r="H345" s="44" t="s">
        <v>620</v>
      </c>
      <c r="I345" s="5" t="s">
        <v>160</v>
      </c>
      <c r="J345" s="36" t="s">
        <v>161</v>
      </c>
      <c r="K345" s="2"/>
      <c r="L345" s="2"/>
      <c r="M345" s="2"/>
      <c r="N345" s="2"/>
      <c r="O345" s="2"/>
      <c r="P345" s="2"/>
      <c r="Q345" s="2"/>
      <c r="R345" s="2"/>
      <c r="S345" s="2"/>
      <c r="T345" s="2"/>
      <c r="U345" s="2"/>
      <c r="V345" s="2"/>
      <c r="W345" s="2"/>
      <c r="X345" s="2"/>
      <c r="Y345" s="2"/>
      <c r="Z345" s="2"/>
      <c r="AA345" s="2"/>
      <c r="AB345" s="2"/>
      <c r="AC345" s="2"/>
      <c r="AD345" s="2"/>
    </row>
    <row r="346" spans="1:30" ht="22.5" customHeight="1" x14ac:dyDescent="0.25">
      <c r="A346" s="8">
        <f t="shared" si="5"/>
        <v>345</v>
      </c>
      <c r="B346" s="24" t="s">
        <v>262</v>
      </c>
      <c r="C346" s="27">
        <v>36197</v>
      </c>
      <c r="D346" s="4">
        <v>73</v>
      </c>
      <c r="E346" s="4" t="s">
        <v>25</v>
      </c>
      <c r="F346" s="4" t="s">
        <v>26</v>
      </c>
      <c r="G346" s="4" t="s">
        <v>21</v>
      </c>
      <c r="H346" s="44" t="s">
        <v>621</v>
      </c>
      <c r="I346" s="5" t="s">
        <v>160</v>
      </c>
      <c r="J346" s="36" t="s">
        <v>161</v>
      </c>
      <c r="K346" s="2"/>
      <c r="L346" s="2"/>
      <c r="M346" s="2"/>
      <c r="N346" s="2"/>
      <c r="O346" s="2"/>
      <c r="P346" s="2"/>
      <c r="Q346" s="2"/>
      <c r="R346" s="2"/>
      <c r="S346" s="2"/>
      <c r="T346" s="2"/>
      <c r="U346" s="2"/>
      <c r="V346" s="2"/>
      <c r="W346" s="2"/>
      <c r="X346" s="2"/>
      <c r="Y346" s="2"/>
      <c r="Z346" s="2"/>
      <c r="AA346" s="2"/>
      <c r="AB346" s="2"/>
      <c r="AC346" s="2"/>
      <c r="AD346" s="2"/>
    </row>
    <row r="347" spans="1:30" ht="22.5" customHeight="1" x14ac:dyDescent="0.25">
      <c r="A347" s="8">
        <f t="shared" si="5"/>
        <v>346</v>
      </c>
      <c r="B347" s="24" t="s">
        <v>186</v>
      </c>
      <c r="C347" s="27">
        <v>32774</v>
      </c>
      <c r="D347" s="4">
        <v>74</v>
      </c>
      <c r="E347" s="4" t="s">
        <v>25</v>
      </c>
      <c r="F347" s="4" t="s">
        <v>37</v>
      </c>
      <c r="G347" s="4" t="s">
        <v>21</v>
      </c>
      <c r="H347" s="44" t="s">
        <v>621</v>
      </c>
      <c r="I347" s="5" t="s">
        <v>160</v>
      </c>
      <c r="J347" s="36" t="s">
        <v>161</v>
      </c>
      <c r="K347"/>
      <c r="L347"/>
      <c r="M347"/>
      <c r="N347"/>
      <c r="O347"/>
      <c r="U347" s="2"/>
    </row>
    <row r="348" spans="1:30" ht="22.5" customHeight="1" x14ac:dyDescent="0.25">
      <c r="A348" s="8">
        <f t="shared" si="5"/>
        <v>347</v>
      </c>
      <c r="B348" s="24" t="s">
        <v>207</v>
      </c>
      <c r="C348" s="27">
        <v>39064</v>
      </c>
      <c r="D348" s="4">
        <v>50</v>
      </c>
      <c r="E348" s="4" t="s">
        <v>19</v>
      </c>
      <c r="F348" s="4" t="s">
        <v>86</v>
      </c>
      <c r="G348" s="4" t="s">
        <v>21</v>
      </c>
      <c r="H348" s="44" t="s">
        <v>620</v>
      </c>
      <c r="I348" s="5" t="s">
        <v>160</v>
      </c>
      <c r="J348" s="36" t="s">
        <v>161</v>
      </c>
      <c r="K348"/>
      <c r="L348"/>
      <c r="M348"/>
      <c r="N348"/>
      <c r="O348"/>
      <c r="U348" s="2"/>
    </row>
    <row r="349" spans="1:30" ht="22.5" customHeight="1" x14ac:dyDescent="0.25">
      <c r="A349" s="8">
        <f t="shared" si="5"/>
        <v>348</v>
      </c>
      <c r="B349" s="24" t="s">
        <v>260</v>
      </c>
      <c r="C349" s="27">
        <v>38787</v>
      </c>
      <c r="D349" s="4">
        <v>50</v>
      </c>
      <c r="E349" s="4" t="s">
        <v>19</v>
      </c>
      <c r="F349" s="4" t="s">
        <v>32</v>
      </c>
      <c r="G349" s="4" t="s">
        <v>21</v>
      </c>
      <c r="H349" s="44" t="s">
        <v>622</v>
      </c>
      <c r="I349" s="5" t="s">
        <v>160</v>
      </c>
      <c r="J349" s="36" t="s">
        <v>161</v>
      </c>
      <c r="K349"/>
      <c r="L349"/>
      <c r="M349"/>
      <c r="N349"/>
      <c r="O349"/>
      <c r="U349" s="2"/>
    </row>
    <row r="350" spans="1:30" ht="22.5" customHeight="1" x14ac:dyDescent="0.25">
      <c r="A350" s="8">
        <f t="shared" si="5"/>
        <v>349</v>
      </c>
      <c r="B350" s="24" t="s">
        <v>306</v>
      </c>
      <c r="C350" s="27">
        <v>43340</v>
      </c>
      <c r="D350" s="4">
        <v>25</v>
      </c>
      <c r="E350" s="4" t="s">
        <v>19</v>
      </c>
      <c r="F350" s="4" t="s">
        <v>39</v>
      </c>
      <c r="G350" s="4" t="s">
        <v>21</v>
      </c>
      <c r="H350" s="44" t="s">
        <v>621</v>
      </c>
      <c r="I350" s="5" t="s">
        <v>163</v>
      </c>
      <c r="J350" s="36" t="s">
        <v>164</v>
      </c>
      <c r="K350"/>
      <c r="L350"/>
      <c r="M350"/>
      <c r="N350"/>
      <c r="O350"/>
      <c r="U350" s="2"/>
    </row>
    <row r="351" spans="1:30" ht="22.5" customHeight="1" x14ac:dyDescent="0.25">
      <c r="A351" s="8">
        <f t="shared" si="5"/>
        <v>350</v>
      </c>
      <c r="B351" s="24" t="s">
        <v>243</v>
      </c>
      <c r="C351" s="27">
        <v>42946</v>
      </c>
      <c r="D351" s="4">
        <v>37</v>
      </c>
      <c r="E351" s="4" t="s">
        <v>25</v>
      </c>
      <c r="F351" s="4" t="s">
        <v>50</v>
      </c>
      <c r="G351" s="4" t="s">
        <v>51</v>
      </c>
      <c r="H351" s="44" t="s">
        <v>622</v>
      </c>
      <c r="I351" s="5" t="s">
        <v>163</v>
      </c>
      <c r="J351" s="36" t="s">
        <v>164</v>
      </c>
      <c r="K351"/>
      <c r="L351"/>
      <c r="M351"/>
      <c r="N351"/>
      <c r="O351"/>
      <c r="U351" s="2"/>
    </row>
    <row r="352" spans="1:30" ht="22.5" customHeight="1" x14ac:dyDescent="0.25">
      <c r="A352" s="8">
        <f t="shared" si="5"/>
        <v>351</v>
      </c>
      <c r="B352" s="24" t="s">
        <v>308</v>
      </c>
      <c r="C352" s="27">
        <v>42613</v>
      </c>
      <c r="D352" s="4">
        <v>37</v>
      </c>
      <c r="E352" s="4" t="s">
        <v>25</v>
      </c>
      <c r="F352" s="4" t="s">
        <v>39</v>
      </c>
      <c r="G352" s="4" t="s">
        <v>21</v>
      </c>
      <c r="H352" s="44" t="s">
        <v>622</v>
      </c>
      <c r="I352" s="5" t="s">
        <v>163</v>
      </c>
      <c r="J352" s="36" t="s">
        <v>164</v>
      </c>
      <c r="K352"/>
      <c r="L352"/>
      <c r="M352"/>
      <c r="N352"/>
      <c r="O352"/>
      <c r="U352" s="2"/>
    </row>
    <row r="353" spans="1:21" ht="22.5" customHeight="1" x14ac:dyDescent="0.25">
      <c r="A353" s="8">
        <f t="shared" si="5"/>
        <v>352</v>
      </c>
      <c r="B353" s="24" t="s">
        <v>305</v>
      </c>
      <c r="C353" s="27">
        <v>42422</v>
      </c>
      <c r="D353" s="4">
        <v>41</v>
      </c>
      <c r="E353" s="4" t="s">
        <v>19</v>
      </c>
      <c r="F353" s="4" t="s">
        <v>42</v>
      </c>
      <c r="G353" s="4" t="s">
        <v>21</v>
      </c>
      <c r="H353" s="44" t="s">
        <v>620</v>
      </c>
      <c r="I353" s="5" t="s">
        <v>163</v>
      </c>
      <c r="J353" s="36" t="s">
        <v>164</v>
      </c>
      <c r="K353"/>
      <c r="L353"/>
      <c r="M353"/>
      <c r="N353"/>
      <c r="O353"/>
      <c r="U353" s="2"/>
    </row>
    <row r="354" spans="1:21" ht="22.5" customHeight="1" x14ac:dyDescent="0.25">
      <c r="A354" s="8">
        <f t="shared" si="5"/>
        <v>353</v>
      </c>
      <c r="B354" s="24" t="s">
        <v>220</v>
      </c>
      <c r="C354" s="27">
        <v>42200</v>
      </c>
      <c r="D354" s="4">
        <v>34</v>
      </c>
      <c r="E354" s="4" t="s">
        <v>25</v>
      </c>
      <c r="F354" s="4" t="s">
        <v>32</v>
      </c>
      <c r="G354" s="4" t="s">
        <v>21</v>
      </c>
      <c r="H354" s="44" t="s">
        <v>620</v>
      </c>
      <c r="I354" s="5" t="s">
        <v>163</v>
      </c>
      <c r="J354" s="36" t="s">
        <v>164</v>
      </c>
      <c r="K354"/>
      <c r="L354"/>
      <c r="M354"/>
      <c r="N354"/>
      <c r="O354"/>
      <c r="U354" s="2"/>
    </row>
    <row r="355" spans="1:21" ht="22.5" customHeight="1" x14ac:dyDescent="0.25">
      <c r="A355" s="8">
        <f t="shared" si="5"/>
        <v>354</v>
      </c>
      <c r="B355" s="24" t="s">
        <v>167</v>
      </c>
      <c r="C355" s="27">
        <v>41935</v>
      </c>
      <c r="D355" s="4">
        <v>40</v>
      </c>
      <c r="E355" s="4" t="s">
        <v>25</v>
      </c>
      <c r="F355" s="4" t="s">
        <v>39</v>
      </c>
      <c r="G355" s="4" t="s">
        <v>21</v>
      </c>
      <c r="H355" s="44" t="s">
        <v>621</v>
      </c>
      <c r="I355" s="5" t="s">
        <v>163</v>
      </c>
      <c r="J355" s="37" t="s">
        <v>164</v>
      </c>
      <c r="K355"/>
      <c r="L355"/>
      <c r="M355"/>
      <c r="N355"/>
      <c r="O355"/>
      <c r="U355" s="2"/>
    </row>
    <row r="356" spans="1:21" ht="22.5" customHeight="1" x14ac:dyDescent="0.25">
      <c r="A356" s="8">
        <f t="shared" si="5"/>
        <v>355</v>
      </c>
      <c r="B356" s="24" t="s">
        <v>213</v>
      </c>
      <c r="C356" s="27">
        <v>41836</v>
      </c>
      <c r="D356" s="4">
        <v>52</v>
      </c>
      <c r="E356" s="4" t="s">
        <v>25</v>
      </c>
      <c r="F356" s="4" t="s">
        <v>39</v>
      </c>
      <c r="G356" s="4" t="s">
        <v>21</v>
      </c>
      <c r="H356" s="44" t="s">
        <v>621</v>
      </c>
      <c r="I356" s="5" t="s">
        <v>163</v>
      </c>
      <c r="J356" s="36" t="s">
        <v>164</v>
      </c>
      <c r="K356"/>
      <c r="L356"/>
      <c r="M356"/>
      <c r="N356"/>
      <c r="O356"/>
      <c r="U356" s="2"/>
    </row>
    <row r="357" spans="1:21" ht="22.5" customHeight="1" x14ac:dyDescent="0.25">
      <c r="A357" s="8">
        <f t="shared" si="5"/>
        <v>356</v>
      </c>
      <c r="B357" s="24" t="s">
        <v>165</v>
      </c>
      <c r="C357" s="27">
        <v>41657</v>
      </c>
      <c r="D357" s="4">
        <v>35</v>
      </c>
      <c r="E357" s="4" t="s">
        <v>19</v>
      </c>
      <c r="F357" s="4" t="s">
        <v>20</v>
      </c>
      <c r="G357" s="4" t="s">
        <v>21</v>
      </c>
      <c r="H357" s="44" t="s">
        <v>620</v>
      </c>
      <c r="I357" s="5" t="s">
        <v>163</v>
      </c>
      <c r="J357" s="36" t="s">
        <v>164</v>
      </c>
      <c r="K357"/>
      <c r="L357"/>
      <c r="M357"/>
      <c r="N357"/>
      <c r="O357"/>
      <c r="U357" s="2"/>
    </row>
    <row r="358" spans="1:21" ht="22.5" customHeight="1" x14ac:dyDescent="0.25">
      <c r="A358" s="8">
        <f t="shared" si="5"/>
        <v>357</v>
      </c>
      <c r="B358" s="24" t="s">
        <v>166</v>
      </c>
      <c r="C358" s="27">
        <v>40959</v>
      </c>
      <c r="D358" s="4">
        <v>32</v>
      </c>
      <c r="E358" s="4" t="s">
        <v>25</v>
      </c>
      <c r="F358" s="4" t="s">
        <v>42</v>
      </c>
      <c r="G358" s="4" t="s">
        <v>21</v>
      </c>
      <c r="H358" s="44" t="s">
        <v>622</v>
      </c>
      <c r="I358" s="5" t="s">
        <v>163</v>
      </c>
      <c r="J358" s="36" t="s">
        <v>164</v>
      </c>
      <c r="K358"/>
      <c r="L358"/>
      <c r="M358"/>
      <c r="N358"/>
      <c r="O358"/>
      <c r="U358" s="2"/>
    </row>
    <row r="359" spans="1:21" ht="22.5" customHeight="1" x14ac:dyDescent="0.25">
      <c r="A359" s="8">
        <f t="shared" si="5"/>
        <v>358</v>
      </c>
      <c r="B359" s="24" t="s">
        <v>197</v>
      </c>
      <c r="C359" s="27">
        <v>41119</v>
      </c>
      <c r="D359" s="4">
        <v>40</v>
      </c>
      <c r="E359" s="4" t="s">
        <v>25</v>
      </c>
      <c r="F359" s="4" t="s">
        <v>42</v>
      </c>
      <c r="G359" s="4" t="s">
        <v>21</v>
      </c>
      <c r="H359" s="44" t="s">
        <v>621</v>
      </c>
      <c r="I359" s="5" t="s">
        <v>163</v>
      </c>
      <c r="J359" s="36" t="s">
        <v>164</v>
      </c>
      <c r="K359"/>
      <c r="L359"/>
      <c r="M359"/>
      <c r="N359"/>
      <c r="O359"/>
      <c r="U359" s="2"/>
    </row>
    <row r="360" spans="1:21" ht="22.5" customHeight="1" x14ac:dyDescent="0.25">
      <c r="A360" s="8">
        <f t="shared" si="5"/>
        <v>359</v>
      </c>
      <c r="B360" s="24" t="s">
        <v>162</v>
      </c>
      <c r="C360" s="27">
        <v>41205</v>
      </c>
      <c r="D360" s="4">
        <v>41</v>
      </c>
      <c r="E360" s="4" t="s">
        <v>25</v>
      </c>
      <c r="F360" s="4" t="s">
        <v>39</v>
      </c>
      <c r="G360" s="4" t="s">
        <v>21</v>
      </c>
      <c r="H360" s="44" t="s">
        <v>622</v>
      </c>
      <c r="I360" s="5" t="s">
        <v>163</v>
      </c>
      <c r="J360" s="36" t="s">
        <v>164</v>
      </c>
      <c r="K360"/>
      <c r="L360"/>
      <c r="M360"/>
      <c r="N360"/>
      <c r="O360"/>
      <c r="U360" s="2"/>
    </row>
    <row r="361" spans="1:21" ht="22.5" customHeight="1" x14ac:dyDescent="0.25">
      <c r="A361" s="8">
        <f t="shared" si="5"/>
        <v>360</v>
      </c>
      <c r="B361" s="24" t="s">
        <v>196</v>
      </c>
      <c r="C361" s="27">
        <v>40918</v>
      </c>
      <c r="D361" s="4">
        <v>42</v>
      </c>
      <c r="E361" s="4" t="s">
        <v>25</v>
      </c>
      <c r="F361" s="4" t="s">
        <v>42</v>
      </c>
      <c r="G361" s="4" t="s">
        <v>21</v>
      </c>
      <c r="H361" s="44" t="s">
        <v>622</v>
      </c>
      <c r="I361" s="5" t="s">
        <v>163</v>
      </c>
      <c r="J361" s="36" t="s">
        <v>164</v>
      </c>
      <c r="K361"/>
      <c r="L361"/>
      <c r="M361"/>
      <c r="N361"/>
      <c r="O361"/>
      <c r="U361" s="2"/>
    </row>
    <row r="362" spans="1:21" ht="22.5" customHeight="1" x14ac:dyDescent="0.25">
      <c r="A362" s="8">
        <f t="shared" si="5"/>
        <v>361</v>
      </c>
      <c r="B362" s="24" t="s">
        <v>307</v>
      </c>
      <c r="C362" s="27">
        <v>41090</v>
      </c>
      <c r="D362" s="4">
        <v>50</v>
      </c>
      <c r="E362" s="4" t="s">
        <v>25</v>
      </c>
      <c r="F362" s="4" t="s">
        <v>20</v>
      </c>
      <c r="G362" s="4" t="s">
        <v>21</v>
      </c>
      <c r="H362" s="44" t="s">
        <v>620</v>
      </c>
      <c r="I362" s="5" t="s">
        <v>163</v>
      </c>
      <c r="J362" s="36" t="s">
        <v>164</v>
      </c>
      <c r="K362"/>
      <c r="L362"/>
      <c r="M362"/>
      <c r="N362"/>
      <c r="O362"/>
      <c r="U362" s="2"/>
    </row>
    <row r="363" spans="1:21" ht="22.5" customHeight="1" x14ac:dyDescent="0.25">
      <c r="A363" s="8">
        <f t="shared" si="5"/>
        <v>362</v>
      </c>
      <c r="B363" s="24" t="s">
        <v>215</v>
      </c>
      <c r="C363" s="27">
        <v>40927</v>
      </c>
      <c r="D363" s="4">
        <v>62</v>
      </c>
      <c r="E363" s="4" t="s">
        <v>25</v>
      </c>
      <c r="F363" s="4" t="s">
        <v>20</v>
      </c>
      <c r="G363" s="4" t="s">
        <v>21</v>
      </c>
      <c r="H363" s="44" t="s">
        <v>620</v>
      </c>
      <c r="I363" s="5" t="s">
        <v>163</v>
      </c>
      <c r="J363" s="36" t="s">
        <v>164</v>
      </c>
      <c r="K363"/>
      <c r="L363"/>
      <c r="M363"/>
      <c r="N363"/>
      <c r="O363"/>
      <c r="U363" s="2"/>
    </row>
    <row r="364" spans="1:21" ht="22.5" customHeight="1" x14ac:dyDescent="0.25">
      <c r="A364" s="8">
        <f t="shared" si="5"/>
        <v>363</v>
      </c>
      <c r="B364" s="24" t="s">
        <v>148</v>
      </c>
      <c r="C364" s="27">
        <v>43710</v>
      </c>
      <c r="D364" s="4">
        <v>17</v>
      </c>
      <c r="E364" s="4" t="s">
        <v>19</v>
      </c>
      <c r="F364" s="4" t="s">
        <v>28</v>
      </c>
      <c r="G364" s="4" t="s">
        <v>21</v>
      </c>
      <c r="H364" s="44" t="s">
        <v>621</v>
      </c>
      <c r="I364" s="5" t="s">
        <v>143</v>
      </c>
      <c r="J364" s="36" t="s">
        <v>144</v>
      </c>
      <c r="K364"/>
      <c r="L364"/>
      <c r="M364"/>
      <c r="N364"/>
      <c r="O364"/>
      <c r="U364" s="2"/>
    </row>
    <row r="365" spans="1:21" ht="22.5" customHeight="1" x14ac:dyDescent="0.25">
      <c r="A365" s="8">
        <f t="shared" si="5"/>
        <v>364</v>
      </c>
      <c r="B365" s="24" t="s">
        <v>291</v>
      </c>
      <c r="C365" s="27">
        <v>43332</v>
      </c>
      <c r="D365" s="4">
        <v>22</v>
      </c>
      <c r="E365" s="4" t="s">
        <v>19</v>
      </c>
      <c r="F365" s="4" t="s">
        <v>28</v>
      </c>
      <c r="G365" s="4" t="s">
        <v>21</v>
      </c>
      <c r="H365" s="44" t="s">
        <v>621</v>
      </c>
      <c r="I365" s="5" t="s">
        <v>143</v>
      </c>
      <c r="J365" s="36" t="s">
        <v>144</v>
      </c>
      <c r="K365"/>
      <c r="L365"/>
      <c r="M365"/>
      <c r="N365"/>
      <c r="O365"/>
      <c r="U365" s="2"/>
    </row>
    <row r="366" spans="1:21" ht="22.5" customHeight="1" x14ac:dyDescent="0.25">
      <c r="A366" s="8">
        <f t="shared" si="5"/>
        <v>365</v>
      </c>
      <c r="B366" s="24" t="s">
        <v>145</v>
      </c>
      <c r="C366" s="27">
        <v>43084</v>
      </c>
      <c r="D366" s="4">
        <v>21</v>
      </c>
      <c r="E366" s="4" t="s">
        <v>25</v>
      </c>
      <c r="F366" s="4" t="s">
        <v>50</v>
      </c>
      <c r="G366" s="4" t="s">
        <v>21</v>
      </c>
      <c r="H366" s="44" t="s">
        <v>620</v>
      </c>
      <c r="I366" s="5" t="s">
        <v>143</v>
      </c>
      <c r="J366" s="36" t="s">
        <v>144</v>
      </c>
      <c r="K366"/>
      <c r="L366"/>
      <c r="M366"/>
      <c r="N366"/>
      <c r="O366"/>
      <c r="U366" s="2"/>
    </row>
    <row r="367" spans="1:21" ht="22.5" customHeight="1" x14ac:dyDescent="0.25">
      <c r="A367" s="8">
        <f t="shared" si="5"/>
        <v>366</v>
      </c>
      <c r="B367" s="24" t="s">
        <v>227</v>
      </c>
      <c r="C367" s="27">
        <v>43092</v>
      </c>
      <c r="D367" s="4">
        <v>19</v>
      </c>
      <c r="E367" s="4" t="s">
        <v>19</v>
      </c>
      <c r="F367" s="4" t="s">
        <v>50</v>
      </c>
      <c r="G367" s="4" t="s">
        <v>21</v>
      </c>
      <c r="H367" s="44" t="s">
        <v>622</v>
      </c>
      <c r="I367" s="5" t="s">
        <v>143</v>
      </c>
      <c r="J367" s="36" t="s">
        <v>144</v>
      </c>
      <c r="K367"/>
      <c r="L367"/>
      <c r="M367"/>
      <c r="N367"/>
      <c r="O367"/>
      <c r="U367" s="2"/>
    </row>
    <row r="368" spans="1:21" ht="22.5" customHeight="1" x14ac:dyDescent="0.25">
      <c r="A368" s="8">
        <f t="shared" si="5"/>
        <v>367</v>
      </c>
      <c r="B368" s="24" t="s">
        <v>532</v>
      </c>
      <c r="C368" s="27">
        <v>42934</v>
      </c>
      <c r="D368" s="4">
        <v>22</v>
      </c>
      <c r="E368" s="4" t="s">
        <v>19</v>
      </c>
      <c r="F368" s="4" t="s">
        <v>28</v>
      </c>
      <c r="G368" s="4" t="s">
        <v>21</v>
      </c>
      <c r="H368" s="44" t="s">
        <v>621</v>
      </c>
      <c r="I368" s="5" t="s">
        <v>143</v>
      </c>
      <c r="J368" s="36" t="s">
        <v>144</v>
      </c>
      <c r="K368"/>
      <c r="L368"/>
      <c r="M368"/>
      <c r="N368"/>
      <c r="O368"/>
      <c r="U368" s="2"/>
    </row>
    <row r="369" spans="1:21" ht="22.5" customHeight="1" x14ac:dyDescent="0.25">
      <c r="A369" s="8">
        <f t="shared" si="5"/>
        <v>368</v>
      </c>
      <c r="B369" s="24" t="s">
        <v>146</v>
      </c>
      <c r="C369" s="27">
        <v>42514</v>
      </c>
      <c r="D369" s="4">
        <v>48</v>
      </c>
      <c r="E369" s="4" t="s">
        <v>25</v>
      </c>
      <c r="F369" s="4" t="s">
        <v>28</v>
      </c>
      <c r="G369" s="4" t="s">
        <v>21</v>
      </c>
      <c r="H369" s="44" t="s">
        <v>622</v>
      </c>
      <c r="I369" s="5" t="s">
        <v>143</v>
      </c>
      <c r="J369" s="36" t="s">
        <v>144</v>
      </c>
      <c r="K369"/>
      <c r="L369"/>
      <c r="M369"/>
      <c r="N369"/>
      <c r="O369"/>
      <c r="U369" s="2"/>
    </row>
    <row r="370" spans="1:21" ht="22.5" customHeight="1" x14ac:dyDescent="0.25">
      <c r="A370" s="8">
        <f t="shared" si="5"/>
        <v>369</v>
      </c>
      <c r="B370" s="24" t="s">
        <v>149</v>
      </c>
      <c r="C370" s="27">
        <v>42257</v>
      </c>
      <c r="D370" s="4">
        <v>40</v>
      </c>
      <c r="E370" s="4" t="s">
        <v>25</v>
      </c>
      <c r="F370" s="4" t="s">
        <v>20</v>
      </c>
      <c r="G370" s="4" t="s">
        <v>21</v>
      </c>
      <c r="H370" s="44" t="s">
        <v>622</v>
      </c>
      <c r="I370" s="5" t="s">
        <v>143</v>
      </c>
      <c r="J370" s="36" t="s">
        <v>144</v>
      </c>
      <c r="K370"/>
      <c r="L370"/>
      <c r="M370"/>
      <c r="N370"/>
      <c r="O370"/>
      <c r="U370" s="2"/>
    </row>
    <row r="371" spans="1:21" ht="22.5" customHeight="1" x14ac:dyDescent="0.25">
      <c r="A371" s="8">
        <f t="shared" si="5"/>
        <v>370</v>
      </c>
      <c r="B371" s="24" t="s">
        <v>158</v>
      </c>
      <c r="C371" s="27">
        <v>42249</v>
      </c>
      <c r="D371" s="4">
        <v>42</v>
      </c>
      <c r="E371" s="4" t="s">
        <v>19</v>
      </c>
      <c r="F371" s="4" t="s">
        <v>50</v>
      </c>
      <c r="G371" s="4" t="s">
        <v>21</v>
      </c>
      <c r="H371" s="44" t="s">
        <v>620</v>
      </c>
      <c r="I371" s="5" t="s">
        <v>143</v>
      </c>
      <c r="J371" s="36" t="s">
        <v>144</v>
      </c>
      <c r="K371"/>
      <c r="L371"/>
      <c r="M371"/>
      <c r="N371"/>
      <c r="O371"/>
      <c r="U371" s="2"/>
    </row>
    <row r="372" spans="1:21" ht="22.5" customHeight="1" x14ac:dyDescent="0.25">
      <c r="A372" s="8">
        <f t="shared" si="5"/>
        <v>371</v>
      </c>
      <c r="B372" s="24" t="s">
        <v>142</v>
      </c>
      <c r="C372" s="27">
        <v>42026</v>
      </c>
      <c r="D372" s="4">
        <v>45</v>
      </c>
      <c r="E372" s="4" t="s">
        <v>19</v>
      </c>
      <c r="F372" s="4" t="s">
        <v>61</v>
      </c>
      <c r="G372" s="4" t="s">
        <v>21</v>
      </c>
      <c r="H372" s="44" t="s">
        <v>620</v>
      </c>
      <c r="I372" s="5" t="s">
        <v>143</v>
      </c>
      <c r="J372" s="36" t="s">
        <v>144</v>
      </c>
      <c r="K372"/>
      <c r="L372"/>
      <c r="M372"/>
      <c r="N372"/>
      <c r="O372"/>
      <c r="U372" s="2"/>
    </row>
    <row r="373" spans="1:21" ht="22.5" customHeight="1" x14ac:dyDescent="0.25">
      <c r="A373" s="8">
        <f t="shared" si="5"/>
        <v>372</v>
      </c>
      <c r="B373" s="24" t="s">
        <v>285</v>
      </c>
      <c r="C373" s="27">
        <v>41773</v>
      </c>
      <c r="D373" s="4">
        <v>28</v>
      </c>
      <c r="E373" s="4" t="s">
        <v>25</v>
      </c>
      <c r="F373" s="4" t="s">
        <v>28</v>
      </c>
      <c r="G373" s="4" t="s">
        <v>21</v>
      </c>
      <c r="H373" s="44" t="s">
        <v>621</v>
      </c>
      <c r="I373" s="5" t="s">
        <v>143</v>
      </c>
      <c r="J373" s="36" t="s">
        <v>144</v>
      </c>
      <c r="K373"/>
      <c r="L373"/>
      <c r="M373"/>
      <c r="N373"/>
      <c r="O373"/>
      <c r="U373" s="2"/>
    </row>
    <row r="374" spans="1:21" ht="22.5" customHeight="1" x14ac:dyDescent="0.25">
      <c r="A374" s="8">
        <f t="shared" si="5"/>
        <v>373</v>
      </c>
      <c r="B374" s="24" t="s">
        <v>147</v>
      </c>
      <c r="C374" s="27">
        <v>41468</v>
      </c>
      <c r="D374" s="4">
        <v>35</v>
      </c>
      <c r="E374" s="4" t="s">
        <v>19</v>
      </c>
      <c r="F374" s="4" t="s">
        <v>28</v>
      </c>
      <c r="G374" s="4" t="s">
        <v>21</v>
      </c>
      <c r="H374" s="44" t="s">
        <v>621</v>
      </c>
      <c r="I374" s="5" t="s">
        <v>143</v>
      </c>
      <c r="J374" s="36" t="s">
        <v>144</v>
      </c>
      <c r="K374"/>
      <c r="L374"/>
      <c r="M374"/>
      <c r="N374"/>
      <c r="O374"/>
      <c r="U374" s="2"/>
    </row>
    <row r="375" spans="1:21" ht="22.5" customHeight="1" x14ac:dyDescent="0.25">
      <c r="A375" s="8">
        <f t="shared" si="5"/>
        <v>374</v>
      </c>
      <c r="B375" s="24" t="s">
        <v>151</v>
      </c>
      <c r="C375" s="27">
        <v>41515</v>
      </c>
      <c r="D375" s="4">
        <v>56</v>
      </c>
      <c r="E375" s="4" t="s">
        <v>19</v>
      </c>
      <c r="F375" s="4" t="s">
        <v>28</v>
      </c>
      <c r="G375" s="4" t="s">
        <v>21</v>
      </c>
      <c r="H375" s="44" t="s">
        <v>620</v>
      </c>
      <c r="I375" s="5" t="s">
        <v>143</v>
      </c>
      <c r="J375" s="36" t="s">
        <v>144</v>
      </c>
      <c r="K375"/>
      <c r="L375"/>
      <c r="M375"/>
      <c r="N375"/>
      <c r="O375"/>
      <c r="U375" s="2"/>
    </row>
    <row r="376" spans="1:21" ht="22.5" customHeight="1" x14ac:dyDescent="0.25">
      <c r="A376" s="8">
        <f t="shared" si="5"/>
        <v>375</v>
      </c>
      <c r="B376" s="24" t="s">
        <v>173</v>
      </c>
      <c r="C376" s="27">
        <v>41081</v>
      </c>
      <c r="D376" s="4">
        <v>32</v>
      </c>
      <c r="E376" s="4" t="s">
        <v>25</v>
      </c>
      <c r="F376" s="4" t="s">
        <v>28</v>
      </c>
      <c r="G376" s="4" t="s">
        <v>21</v>
      </c>
      <c r="H376" s="44" t="s">
        <v>622</v>
      </c>
      <c r="I376" s="5" t="s">
        <v>143</v>
      </c>
      <c r="J376" s="36" t="s">
        <v>144</v>
      </c>
      <c r="K376"/>
      <c r="L376"/>
      <c r="M376"/>
      <c r="N376"/>
      <c r="O376"/>
      <c r="U376" s="2"/>
    </row>
    <row r="377" spans="1:21" ht="22.5" customHeight="1" x14ac:dyDescent="0.25">
      <c r="A377" s="8">
        <f t="shared" si="5"/>
        <v>376</v>
      </c>
      <c r="B377" s="24" t="s">
        <v>150</v>
      </c>
      <c r="C377" s="27">
        <v>40732</v>
      </c>
      <c r="D377" s="4">
        <v>48</v>
      </c>
      <c r="E377" s="4" t="s">
        <v>25</v>
      </c>
      <c r="F377" s="4" t="s">
        <v>34</v>
      </c>
      <c r="G377" s="4" t="s">
        <v>21</v>
      </c>
      <c r="H377" s="44" t="s">
        <v>621</v>
      </c>
      <c r="I377" s="5" t="s">
        <v>143</v>
      </c>
      <c r="J377" s="36" t="s">
        <v>144</v>
      </c>
      <c r="K377"/>
      <c r="L377"/>
      <c r="M377"/>
      <c r="N377"/>
      <c r="O377"/>
      <c r="U377" s="2"/>
    </row>
    <row r="378" spans="1:21" ht="22.5" customHeight="1" x14ac:dyDescent="0.25">
      <c r="A378" s="8">
        <f t="shared" si="5"/>
        <v>377</v>
      </c>
      <c r="B378" s="24" t="s">
        <v>527</v>
      </c>
      <c r="C378" s="27">
        <v>37652</v>
      </c>
      <c r="D378" s="4">
        <v>42</v>
      </c>
      <c r="E378" s="4" t="s">
        <v>19</v>
      </c>
      <c r="F378" s="4" t="s">
        <v>37</v>
      </c>
      <c r="G378" s="4" t="s">
        <v>21</v>
      </c>
      <c r="H378" s="44" t="s">
        <v>622</v>
      </c>
      <c r="I378" s="5" t="s">
        <v>143</v>
      </c>
      <c r="J378" s="36" t="s">
        <v>144</v>
      </c>
      <c r="K378"/>
      <c r="L378"/>
      <c r="M378"/>
      <c r="N378"/>
      <c r="O378"/>
      <c r="U378" s="2"/>
    </row>
    <row r="379" spans="1:21" ht="22.5" customHeight="1" x14ac:dyDescent="0.25">
      <c r="A379" s="8">
        <f t="shared" si="5"/>
        <v>378</v>
      </c>
      <c r="B379" s="24" t="s">
        <v>489</v>
      </c>
      <c r="C379" s="27">
        <v>43104</v>
      </c>
      <c r="D379" s="4">
        <v>24</v>
      </c>
      <c r="E379" s="4" t="s">
        <v>25</v>
      </c>
      <c r="F379" s="4" t="s">
        <v>42</v>
      </c>
      <c r="G379" s="4" t="s">
        <v>21</v>
      </c>
      <c r="H379" s="44" t="s">
        <v>622</v>
      </c>
      <c r="I379" s="5" t="s">
        <v>211</v>
      </c>
      <c r="J379" s="36" t="s">
        <v>450</v>
      </c>
      <c r="K379"/>
      <c r="L379"/>
      <c r="M379"/>
      <c r="N379"/>
      <c r="O379"/>
      <c r="U379" s="2"/>
    </row>
    <row r="380" spans="1:21" ht="22.5" customHeight="1" x14ac:dyDescent="0.25">
      <c r="A380" s="8">
        <f t="shared" si="5"/>
        <v>379</v>
      </c>
      <c r="B380" s="24" t="s">
        <v>453</v>
      </c>
      <c r="C380" s="27">
        <v>43199</v>
      </c>
      <c r="D380" s="4">
        <v>24</v>
      </c>
      <c r="E380" s="4" t="s">
        <v>25</v>
      </c>
      <c r="F380" s="4" t="s">
        <v>42</v>
      </c>
      <c r="G380" s="4" t="s">
        <v>21</v>
      </c>
      <c r="H380" s="44" t="s">
        <v>620</v>
      </c>
      <c r="I380" s="5" t="s">
        <v>211</v>
      </c>
      <c r="J380" s="36" t="s">
        <v>450</v>
      </c>
      <c r="K380"/>
      <c r="L380"/>
      <c r="M380"/>
      <c r="N380"/>
      <c r="O380"/>
      <c r="U380" s="2"/>
    </row>
    <row r="381" spans="1:21" ht="22.5" customHeight="1" x14ac:dyDescent="0.25">
      <c r="A381" s="8">
        <f t="shared" si="5"/>
        <v>380</v>
      </c>
      <c r="B381" s="24" t="s">
        <v>477</v>
      </c>
      <c r="C381" s="27">
        <v>43100</v>
      </c>
      <c r="D381" s="4">
        <v>21</v>
      </c>
      <c r="E381" s="4" t="s">
        <v>19</v>
      </c>
      <c r="F381" s="4" t="s">
        <v>28</v>
      </c>
      <c r="G381" s="4" t="s">
        <v>21</v>
      </c>
      <c r="H381" s="44" t="s">
        <v>620</v>
      </c>
      <c r="I381" s="5" t="s">
        <v>211</v>
      </c>
      <c r="J381" s="36" t="s">
        <v>450</v>
      </c>
      <c r="K381"/>
      <c r="L381"/>
      <c r="M381"/>
      <c r="N381"/>
      <c r="O381"/>
      <c r="U381" s="2"/>
    </row>
    <row r="382" spans="1:21" ht="22.5" customHeight="1" x14ac:dyDescent="0.25">
      <c r="A382" s="8">
        <f t="shared" si="5"/>
        <v>381</v>
      </c>
      <c r="B382" s="24" t="s">
        <v>475</v>
      </c>
      <c r="C382" s="27">
        <v>43029</v>
      </c>
      <c r="D382" s="4">
        <v>22</v>
      </c>
      <c r="E382" s="4" t="s">
        <v>19</v>
      </c>
      <c r="F382" s="4" t="s">
        <v>34</v>
      </c>
      <c r="G382" s="4" t="s">
        <v>21</v>
      </c>
      <c r="H382" s="44" t="s">
        <v>621</v>
      </c>
      <c r="I382" s="5" t="s">
        <v>211</v>
      </c>
      <c r="J382" s="36" t="s">
        <v>450</v>
      </c>
      <c r="K382"/>
      <c r="L382"/>
      <c r="M382"/>
      <c r="N382"/>
      <c r="O382"/>
      <c r="U382" s="2"/>
    </row>
    <row r="383" spans="1:21" ht="22.5" customHeight="1" x14ac:dyDescent="0.25">
      <c r="A383" s="8">
        <f t="shared" si="5"/>
        <v>382</v>
      </c>
      <c r="B383" s="24" t="s">
        <v>472</v>
      </c>
      <c r="C383" s="27">
        <v>42949</v>
      </c>
      <c r="D383" s="4">
        <v>25</v>
      </c>
      <c r="E383" s="4" t="s">
        <v>19</v>
      </c>
      <c r="F383" s="4" t="s">
        <v>34</v>
      </c>
      <c r="G383" s="4" t="s">
        <v>21</v>
      </c>
      <c r="H383" s="44" t="s">
        <v>621</v>
      </c>
      <c r="I383" s="5" t="s">
        <v>211</v>
      </c>
      <c r="J383" s="36" t="s">
        <v>450</v>
      </c>
      <c r="K383"/>
      <c r="L383"/>
      <c r="M383"/>
      <c r="N383"/>
      <c r="O383"/>
      <c r="U383" s="2"/>
    </row>
    <row r="384" spans="1:21" ht="22.5" customHeight="1" x14ac:dyDescent="0.25">
      <c r="A384" s="8">
        <f t="shared" si="5"/>
        <v>383</v>
      </c>
      <c r="B384" s="24" t="s">
        <v>481</v>
      </c>
      <c r="C384" s="27">
        <v>42746</v>
      </c>
      <c r="D384" s="4">
        <v>28</v>
      </c>
      <c r="E384" s="4" t="s">
        <v>19</v>
      </c>
      <c r="F384" s="4" t="s">
        <v>34</v>
      </c>
      <c r="G384" s="4" t="s">
        <v>21</v>
      </c>
      <c r="H384" s="44" t="s">
        <v>620</v>
      </c>
      <c r="I384" s="5" t="s">
        <v>211</v>
      </c>
      <c r="J384" s="36" t="s">
        <v>450</v>
      </c>
      <c r="K384"/>
      <c r="L384"/>
      <c r="M384"/>
      <c r="N384"/>
      <c r="O384"/>
      <c r="U384" s="2"/>
    </row>
    <row r="385" spans="1:21" ht="22.5" customHeight="1" x14ac:dyDescent="0.25">
      <c r="A385" s="8">
        <f t="shared" si="5"/>
        <v>384</v>
      </c>
      <c r="B385" s="24" t="s">
        <v>480</v>
      </c>
      <c r="C385" s="27">
        <v>42734</v>
      </c>
      <c r="D385" s="4">
        <v>30</v>
      </c>
      <c r="E385" s="4" t="s">
        <v>19</v>
      </c>
      <c r="F385" s="4" t="s">
        <v>34</v>
      </c>
      <c r="G385" s="4" t="s">
        <v>21</v>
      </c>
      <c r="H385" s="44" t="s">
        <v>622</v>
      </c>
      <c r="I385" s="5" t="s">
        <v>211</v>
      </c>
      <c r="J385" s="36" t="s">
        <v>450</v>
      </c>
      <c r="K385"/>
      <c r="L385"/>
      <c r="M385"/>
      <c r="N385"/>
      <c r="O385"/>
      <c r="U385" s="2"/>
    </row>
    <row r="386" spans="1:21" ht="22.5" customHeight="1" x14ac:dyDescent="0.25">
      <c r="A386" s="8">
        <f t="shared" si="5"/>
        <v>385</v>
      </c>
      <c r="B386" s="24" t="s">
        <v>476</v>
      </c>
      <c r="C386" s="27">
        <v>42715</v>
      </c>
      <c r="D386" s="4">
        <v>22</v>
      </c>
      <c r="E386" s="4" t="s">
        <v>25</v>
      </c>
      <c r="F386" s="4" t="s">
        <v>28</v>
      </c>
      <c r="G386" s="4" t="s">
        <v>21</v>
      </c>
      <c r="H386" s="44" t="s">
        <v>621</v>
      </c>
      <c r="I386" s="5" t="s">
        <v>211</v>
      </c>
      <c r="J386" s="36" t="s">
        <v>450</v>
      </c>
      <c r="K386"/>
      <c r="L386"/>
      <c r="M386"/>
      <c r="N386"/>
      <c r="O386"/>
      <c r="U386" s="2"/>
    </row>
    <row r="387" spans="1:21" ht="22.5" customHeight="1" x14ac:dyDescent="0.25">
      <c r="A387" s="8">
        <f t="shared" ref="A387:A450" si="6">A386+1</f>
        <v>386</v>
      </c>
      <c r="B387" s="24" t="s">
        <v>470</v>
      </c>
      <c r="C387" s="27">
        <v>42476</v>
      </c>
      <c r="D387" s="4">
        <v>22</v>
      </c>
      <c r="E387" s="4" t="s">
        <v>25</v>
      </c>
      <c r="F387" s="4" t="s">
        <v>20</v>
      </c>
      <c r="G387" s="4" t="s">
        <v>21</v>
      </c>
      <c r="H387" s="44" t="s">
        <v>622</v>
      </c>
      <c r="I387" s="5" t="s">
        <v>211</v>
      </c>
      <c r="J387" s="36" t="s">
        <v>450</v>
      </c>
      <c r="K387"/>
      <c r="L387"/>
      <c r="M387"/>
      <c r="N387"/>
      <c r="O387"/>
      <c r="U387" s="2"/>
    </row>
    <row r="388" spans="1:21" ht="22.5" customHeight="1" x14ac:dyDescent="0.25">
      <c r="A388" s="8">
        <f t="shared" si="6"/>
        <v>387</v>
      </c>
      <c r="B388" s="24" t="s">
        <v>484</v>
      </c>
      <c r="C388" s="27">
        <v>42688</v>
      </c>
      <c r="D388" s="4">
        <v>23</v>
      </c>
      <c r="E388" s="4" t="s">
        <v>25</v>
      </c>
      <c r="F388" s="4" t="s">
        <v>42</v>
      </c>
      <c r="G388" s="4" t="s">
        <v>21</v>
      </c>
      <c r="H388" s="44" t="s">
        <v>622</v>
      </c>
      <c r="I388" s="5" t="s">
        <v>211</v>
      </c>
      <c r="J388" s="36" t="s">
        <v>450</v>
      </c>
      <c r="K388"/>
      <c r="L388"/>
      <c r="M388"/>
      <c r="N388"/>
      <c r="O388"/>
      <c r="U388" s="2"/>
    </row>
    <row r="389" spans="1:21" ht="22.5" customHeight="1" x14ac:dyDescent="0.25">
      <c r="A389" s="8">
        <f t="shared" si="6"/>
        <v>388</v>
      </c>
      <c r="B389" s="24" t="s">
        <v>466</v>
      </c>
      <c r="C389" s="27">
        <v>42225</v>
      </c>
      <c r="D389" s="4">
        <v>23</v>
      </c>
      <c r="E389" s="4" t="s">
        <v>25</v>
      </c>
      <c r="F389" s="4" t="s">
        <v>20</v>
      </c>
      <c r="G389" s="4" t="s">
        <v>21</v>
      </c>
      <c r="H389" s="44" t="s">
        <v>620</v>
      </c>
      <c r="I389" s="5" t="s">
        <v>211</v>
      </c>
      <c r="J389" s="36" t="s">
        <v>450</v>
      </c>
      <c r="K389"/>
      <c r="L389"/>
      <c r="M389"/>
      <c r="N389"/>
      <c r="O389"/>
      <c r="U389" s="2"/>
    </row>
    <row r="390" spans="1:21" ht="22.5" customHeight="1" x14ac:dyDescent="0.25">
      <c r="A390" s="8">
        <f t="shared" si="6"/>
        <v>389</v>
      </c>
      <c r="B390" s="24" t="s">
        <v>482</v>
      </c>
      <c r="C390" s="27">
        <v>42250</v>
      </c>
      <c r="D390" s="4">
        <v>24</v>
      </c>
      <c r="E390" s="4" t="s">
        <v>25</v>
      </c>
      <c r="F390" s="4" t="s">
        <v>28</v>
      </c>
      <c r="G390" s="4" t="s">
        <v>21</v>
      </c>
      <c r="H390" s="44" t="s">
        <v>620</v>
      </c>
      <c r="I390" s="5" t="s">
        <v>211</v>
      </c>
      <c r="J390" s="36" t="s">
        <v>450</v>
      </c>
      <c r="K390"/>
      <c r="L390"/>
      <c r="M390"/>
      <c r="N390"/>
      <c r="O390"/>
      <c r="U390" s="2"/>
    </row>
    <row r="391" spans="1:21" ht="22.5" customHeight="1" x14ac:dyDescent="0.25">
      <c r="A391" s="8">
        <f t="shared" si="6"/>
        <v>390</v>
      </c>
      <c r="B391" s="24" t="s">
        <v>478</v>
      </c>
      <c r="C391" s="27">
        <v>42173</v>
      </c>
      <c r="D391" s="4">
        <v>24</v>
      </c>
      <c r="E391" s="4" t="s">
        <v>25</v>
      </c>
      <c r="F391" s="4" t="s">
        <v>28</v>
      </c>
      <c r="G391" s="4" t="s">
        <v>21</v>
      </c>
      <c r="H391" s="44" t="s">
        <v>621</v>
      </c>
      <c r="I391" s="5" t="s">
        <v>211</v>
      </c>
      <c r="J391" s="36" t="s">
        <v>450</v>
      </c>
      <c r="K391"/>
      <c r="L391"/>
      <c r="M391"/>
      <c r="N391"/>
      <c r="O391"/>
      <c r="U391" s="2"/>
    </row>
    <row r="392" spans="1:21" ht="22.5" customHeight="1" x14ac:dyDescent="0.25">
      <c r="A392" s="8">
        <f t="shared" si="6"/>
        <v>391</v>
      </c>
      <c r="B392" s="24" t="s">
        <v>473</v>
      </c>
      <c r="C392" s="27">
        <v>42286</v>
      </c>
      <c r="D392" s="4">
        <v>32</v>
      </c>
      <c r="E392" s="4" t="s">
        <v>25</v>
      </c>
      <c r="F392" s="4" t="s">
        <v>50</v>
      </c>
      <c r="G392" s="4" t="s">
        <v>21</v>
      </c>
      <c r="H392" s="44" t="s">
        <v>621</v>
      </c>
      <c r="I392" s="5" t="s">
        <v>211</v>
      </c>
      <c r="J392" s="36" t="s">
        <v>450</v>
      </c>
      <c r="K392"/>
      <c r="L392"/>
      <c r="M392"/>
      <c r="N392"/>
      <c r="O392"/>
      <c r="U392" s="2"/>
    </row>
    <row r="393" spans="1:21" ht="22.5" customHeight="1" x14ac:dyDescent="0.25">
      <c r="A393" s="8">
        <f t="shared" si="6"/>
        <v>392</v>
      </c>
      <c r="B393" s="24" t="s">
        <v>463</v>
      </c>
      <c r="C393" s="27">
        <v>42236</v>
      </c>
      <c r="D393" s="4">
        <v>24</v>
      </c>
      <c r="E393" s="4" t="s">
        <v>19</v>
      </c>
      <c r="F393" s="4" t="s">
        <v>28</v>
      </c>
      <c r="G393" s="4" t="s">
        <v>21</v>
      </c>
      <c r="H393" s="44" t="s">
        <v>620</v>
      </c>
      <c r="I393" s="5" t="s">
        <v>211</v>
      </c>
      <c r="J393" s="36" t="s">
        <v>450</v>
      </c>
      <c r="K393"/>
      <c r="L393"/>
      <c r="M393"/>
      <c r="N393"/>
      <c r="O393"/>
      <c r="U393" s="2"/>
    </row>
    <row r="394" spans="1:21" ht="22.5" customHeight="1" x14ac:dyDescent="0.25">
      <c r="A394" s="8">
        <f t="shared" si="6"/>
        <v>393</v>
      </c>
      <c r="B394" s="24" t="s">
        <v>471</v>
      </c>
      <c r="C394" s="27">
        <v>42179</v>
      </c>
      <c r="D394" s="4">
        <v>32</v>
      </c>
      <c r="E394" s="4" t="s">
        <v>19</v>
      </c>
      <c r="F394" s="4" t="s">
        <v>34</v>
      </c>
      <c r="G394" s="4" t="s">
        <v>21</v>
      </c>
      <c r="H394" s="44" t="s">
        <v>622</v>
      </c>
      <c r="I394" s="5" t="s">
        <v>211</v>
      </c>
      <c r="J394" s="36" t="s">
        <v>450</v>
      </c>
      <c r="K394"/>
      <c r="L394"/>
      <c r="M394"/>
      <c r="N394"/>
      <c r="O394"/>
      <c r="U394" s="2"/>
    </row>
    <row r="395" spans="1:21" ht="22.5" customHeight="1" x14ac:dyDescent="0.25">
      <c r="A395" s="8">
        <f t="shared" si="6"/>
        <v>394</v>
      </c>
      <c r="B395" s="24" t="s">
        <v>488</v>
      </c>
      <c r="C395" s="27">
        <v>42289</v>
      </c>
      <c r="D395" s="4">
        <v>36</v>
      </c>
      <c r="E395" s="4" t="s">
        <v>19</v>
      </c>
      <c r="F395" s="4" t="s">
        <v>28</v>
      </c>
      <c r="G395" s="4" t="s">
        <v>21</v>
      </c>
      <c r="H395" s="44" t="s">
        <v>621</v>
      </c>
      <c r="I395" s="5" t="s">
        <v>211</v>
      </c>
      <c r="J395" s="36" t="s">
        <v>450</v>
      </c>
      <c r="K395"/>
      <c r="L395"/>
      <c r="M395"/>
      <c r="N395"/>
      <c r="O395"/>
      <c r="U395" s="2"/>
    </row>
    <row r="396" spans="1:21" ht="22.5" customHeight="1" x14ac:dyDescent="0.25">
      <c r="A396" s="8">
        <f t="shared" si="6"/>
        <v>395</v>
      </c>
      <c r="B396" s="24" t="s">
        <v>461</v>
      </c>
      <c r="C396" s="27">
        <v>41977</v>
      </c>
      <c r="D396" s="4">
        <v>24</v>
      </c>
      <c r="E396" s="4" t="s">
        <v>25</v>
      </c>
      <c r="F396" s="4" t="s">
        <v>34</v>
      </c>
      <c r="G396" s="4" t="s">
        <v>21</v>
      </c>
      <c r="H396" s="44" t="s">
        <v>622</v>
      </c>
      <c r="I396" s="5" t="s">
        <v>211</v>
      </c>
      <c r="J396" s="36" t="s">
        <v>450</v>
      </c>
      <c r="K396"/>
      <c r="L396"/>
      <c r="M396"/>
      <c r="N396"/>
      <c r="O396"/>
      <c r="U396" s="2"/>
    </row>
    <row r="397" spans="1:21" ht="22.5" customHeight="1" x14ac:dyDescent="0.25">
      <c r="A397" s="8">
        <f t="shared" si="6"/>
        <v>396</v>
      </c>
      <c r="B397" s="24" t="s">
        <v>483</v>
      </c>
      <c r="C397" s="27">
        <v>41760</v>
      </c>
      <c r="D397" s="4">
        <v>35</v>
      </c>
      <c r="E397" s="4" t="s">
        <v>25</v>
      </c>
      <c r="F397" s="4" t="s">
        <v>20</v>
      </c>
      <c r="G397" s="4" t="s">
        <v>21</v>
      </c>
      <c r="H397" s="44" t="s">
        <v>622</v>
      </c>
      <c r="I397" s="5" t="s">
        <v>211</v>
      </c>
      <c r="J397" s="36" t="s">
        <v>450</v>
      </c>
      <c r="K397"/>
      <c r="L397"/>
      <c r="M397"/>
      <c r="N397"/>
      <c r="O397"/>
      <c r="U397" s="2"/>
    </row>
    <row r="398" spans="1:21" ht="22.5" customHeight="1" x14ac:dyDescent="0.25">
      <c r="A398" s="8">
        <f t="shared" si="6"/>
        <v>397</v>
      </c>
      <c r="B398" s="24" t="s">
        <v>552</v>
      </c>
      <c r="C398" s="27">
        <v>41647</v>
      </c>
      <c r="D398" s="4">
        <v>35</v>
      </c>
      <c r="E398" s="4" t="s">
        <v>25</v>
      </c>
      <c r="F398" s="4" t="s">
        <v>32</v>
      </c>
      <c r="G398" s="4" t="s">
        <v>21</v>
      </c>
      <c r="H398" s="44" t="s">
        <v>620</v>
      </c>
      <c r="I398" s="5" t="s">
        <v>211</v>
      </c>
      <c r="J398" s="36" t="s">
        <v>450</v>
      </c>
      <c r="K398"/>
      <c r="L398"/>
      <c r="M398"/>
      <c r="N398"/>
      <c r="O398"/>
      <c r="U398" s="2"/>
    </row>
    <row r="399" spans="1:21" ht="22.5" customHeight="1" x14ac:dyDescent="0.25">
      <c r="A399" s="8">
        <f t="shared" si="6"/>
        <v>398</v>
      </c>
      <c r="B399" s="24" t="s">
        <v>464</v>
      </c>
      <c r="C399" s="27">
        <v>41836</v>
      </c>
      <c r="D399" s="4">
        <v>39</v>
      </c>
      <c r="E399" s="4" t="s">
        <v>25</v>
      </c>
      <c r="F399" s="4" t="s">
        <v>20</v>
      </c>
      <c r="G399" s="4" t="s">
        <v>21</v>
      </c>
      <c r="H399" s="44" t="s">
        <v>620</v>
      </c>
      <c r="I399" s="5" t="s">
        <v>211</v>
      </c>
      <c r="J399" s="36" t="s">
        <v>450</v>
      </c>
      <c r="K399"/>
      <c r="L399"/>
      <c r="M399"/>
      <c r="N399"/>
      <c r="O399"/>
      <c r="U399" s="2"/>
    </row>
    <row r="400" spans="1:21" ht="22.5" customHeight="1" x14ac:dyDescent="0.25">
      <c r="A400" s="8">
        <f t="shared" si="6"/>
        <v>399</v>
      </c>
      <c r="B400" s="24" t="s">
        <v>465</v>
      </c>
      <c r="C400" s="27">
        <v>41954</v>
      </c>
      <c r="D400" s="4">
        <v>50</v>
      </c>
      <c r="E400" s="4" t="s">
        <v>25</v>
      </c>
      <c r="F400" s="4" t="s">
        <v>28</v>
      </c>
      <c r="G400" s="4" t="s">
        <v>21</v>
      </c>
      <c r="H400" s="44" t="s">
        <v>621</v>
      </c>
      <c r="I400" s="5" t="s">
        <v>211</v>
      </c>
      <c r="J400" s="36" t="s">
        <v>450</v>
      </c>
      <c r="K400"/>
      <c r="L400"/>
      <c r="M400"/>
      <c r="N400"/>
      <c r="O400"/>
      <c r="U400" s="2"/>
    </row>
    <row r="401" spans="1:21" ht="22.5" customHeight="1" x14ac:dyDescent="0.25">
      <c r="A401" s="8">
        <f t="shared" si="6"/>
        <v>400</v>
      </c>
      <c r="B401" s="24" t="s">
        <v>479</v>
      </c>
      <c r="C401" s="27">
        <v>41350</v>
      </c>
      <c r="D401" s="4">
        <v>30</v>
      </c>
      <c r="E401" s="4" t="s">
        <v>25</v>
      </c>
      <c r="F401" s="4" t="s">
        <v>34</v>
      </c>
      <c r="G401" s="4" t="s">
        <v>21</v>
      </c>
      <c r="H401" s="44" t="s">
        <v>621</v>
      </c>
      <c r="I401" s="5" t="s">
        <v>211</v>
      </c>
      <c r="J401" s="36" t="s">
        <v>450</v>
      </c>
      <c r="K401"/>
      <c r="L401"/>
      <c r="M401"/>
      <c r="N401"/>
      <c r="O401"/>
      <c r="U401" s="2"/>
    </row>
    <row r="402" spans="1:21" ht="22.5" customHeight="1" x14ac:dyDescent="0.25">
      <c r="A402" s="8">
        <f t="shared" si="6"/>
        <v>401</v>
      </c>
      <c r="B402" s="24" t="s">
        <v>449</v>
      </c>
      <c r="C402" s="27">
        <v>41379</v>
      </c>
      <c r="D402" s="4">
        <v>40</v>
      </c>
      <c r="E402" s="4" t="s">
        <v>25</v>
      </c>
      <c r="F402" s="4" t="s">
        <v>42</v>
      </c>
      <c r="G402" s="4" t="s">
        <v>21</v>
      </c>
      <c r="H402" s="44" t="s">
        <v>620</v>
      </c>
      <c r="I402" s="5" t="s">
        <v>211</v>
      </c>
      <c r="J402" s="36" t="s">
        <v>450</v>
      </c>
      <c r="K402"/>
      <c r="L402"/>
      <c r="M402"/>
      <c r="N402"/>
      <c r="O402"/>
      <c r="U402" s="2"/>
    </row>
    <row r="403" spans="1:21" ht="22.5" customHeight="1" x14ac:dyDescent="0.25">
      <c r="A403" s="8">
        <f t="shared" si="6"/>
        <v>402</v>
      </c>
      <c r="B403" s="24" t="s">
        <v>458</v>
      </c>
      <c r="C403" s="27">
        <v>40982</v>
      </c>
      <c r="D403" s="4">
        <v>32</v>
      </c>
      <c r="E403" s="4" t="s">
        <v>25</v>
      </c>
      <c r="F403" s="4" t="s">
        <v>42</v>
      </c>
      <c r="G403" s="4" t="s">
        <v>21</v>
      </c>
      <c r="H403" s="44" t="s">
        <v>622</v>
      </c>
      <c r="I403" s="5" t="s">
        <v>211</v>
      </c>
      <c r="J403" s="36" t="s">
        <v>450</v>
      </c>
      <c r="K403"/>
      <c r="L403"/>
      <c r="M403"/>
      <c r="N403"/>
      <c r="O403"/>
      <c r="U403" s="2"/>
    </row>
    <row r="404" spans="1:21" ht="22.5" customHeight="1" x14ac:dyDescent="0.25">
      <c r="A404" s="8">
        <f t="shared" si="6"/>
        <v>403</v>
      </c>
      <c r="B404" s="24" t="s">
        <v>462</v>
      </c>
      <c r="C404" s="27">
        <v>40941</v>
      </c>
      <c r="D404" s="4">
        <v>45</v>
      </c>
      <c r="E404" s="4" t="s">
        <v>25</v>
      </c>
      <c r="F404" s="4" t="s">
        <v>32</v>
      </c>
      <c r="G404" s="4" t="s">
        <v>21</v>
      </c>
      <c r="H404" s="44" t="s">
        <v>621</v>
      </c>
      <c r="I404" s="5" t="s">
        <v>211</v>
      </c>
      <c r="J404" s="36" t="s">
        <v>450</v>
      </c>
      <c r="K404"/>
      <c r="L404"/>
      <c r="M404"/>
      <c r="N404"/>
      <c r="O404"/>
      <c r="U404" s="2"/>
    </row>
    <row r="405" spans="1:21" ht="22.5" customHeight="1" x14ac:dyDescent="0.25">
      <c r="A405" s="8">
        <f t="shared" si="6"/>
        <v>404</v>
      </c>
      <c r="B405" s="24" t="s">
        <v>467</v>
      </c>
      <c r="C405" s="27">
        <v>41248</v>
      </c>
      <c r="D405" s="4">
        <v>55</v>
      </c>
      <c r="E405" s="4" t="s">
        <v>25</v>
      </c>
      <c r="F405" s="4" t="s">
        <v>34</v>
      </c>
      <c r="G405" s="4" t="s">
        <v>21</v>
      </c>
      <c r="H405" s="44" t="s">
        <v>622</v>
      </c>
      <c r="I405" s="5" t="s">
        <v>211</v>
      </c>
      <c r="J405" s="36" t="s">
        <v>450</v>
      </c>
      <c r="K405"/>
      <c r="L405"/>
      <c r="M405"/>
      <c r="N405"/>
      <c r="O405"/>
      <c r="U405" s="2"/>
    </row>
    <row r="406" spans="1:21" ht="22.5" customHeight="1" x14ac:dyDescent="0.25">
      <c r="A406" s="8">
        <f t="shared" si="6"/>
        <v>405</v>
      </c>
      <c r="B406" s="24" t="s">
        <v>459</v>
      </c>
      <c r="C406" s="27">
        <v>40581</v>
      </c>
      <c r="D406" s="4">
        <v>42</v>
      </c>
      <c r="E406" s="4" t="s">
        <v>25</v>
      </c>
      <c r="F406" s="4" t="s">
        <v>42</v>
      </c>
      <c r="G406" s="4" t="s">
        <v>21</v>
      </c>
      <c r="H406" s="44" t="s">
        <v>622</v>
      </c>
      <c r="I406" s="5" t="s">
        <v>211</v>
      </c>
      <c r="J406" s="36" t="s">
        <v>450</v>
      </c>
      <c r="K406"/>
      <c r="L406"/>
      <c r="M406"/>
      <c r="N406"/>
      <c r="O406"/>
      <c r="U406" s="2"/>
    </row>
    <row r="407" spans="1:21" ht="22.5" customHeight="1" x14ac:dyDescent="0.25">
      <c r="A407" s="8">
        <f t="shared" si="6"/>
        <v>406</v>
      </c>
      <c r="B407" s="24" t="s">
        <v>468</v>
      </c>
      <c r="C407" s="27">
        <v>40786</v>
      </c>
      <c r="D407" s="4">
        <v>42</v>
      </c>
      <c r="E407" s="4" t="s">
        <v>25</v>
      </c>
      <c r="F407" s="4" t="s">
        <v>37</v>
      </c>
      <c r="G407" s="4" t="s">
        <v>21</v>
      </c>
      <c r="H407" s="44" t="s">
        <v>620</v>
      </c>
      <c r="I407" s="5" t="s">
        <v>211</v>
      </c>
      <c r="J407" s="36" t="s">
        <v>450</v>
      </c>
      <c r="K407"/>
      <c r="L407"/>
      <c r="M407"/>
      <c r="N407"/>
      <c r="O407"/>
      <c r="U407" s="2"/>
    </row>
    <row r="408" spans="1:21" ht="22.5" customHeight="1" x14ac:dyDescent="0.25">
      <c r="A408" s="8">
        <f t="shared" si="6"/>
        <v>407</v>
      </c>
      <c r="B408" s="24" t="s">
        <v>551</v>
      </c>
      <c r="C408" s="27">
        <v>40459</v>
      </c>
      <c r="D408" s="4">
        <v>55</v>
      </c>
      <c r="E408" s="4" t="s">
        <v>19</v>
      </c>
      <c r="F408" s="4" t="s">
        <v>26</v>
      </c>
      <c r="G408" s="4" t="s">
        <v>21</v>
      </c>
      <c r="H408" s="44" t="s">
        <v>620</v>
      </c>
      <c r="I408" s="5" t="s">
        <v>211</v>
      </c>
      <c r="J408" s="36" t="s">
        <v>450</v>
      </c>
      <c r="K408"/>
      <c r="L408"/>
      <c r="M408"/>
      <c r="N408"/>
      <c r="O408"/>
      <c r="U408" s="2"/>
    </row>
    <row r="409" spans="1:21" ht="22.5" customHeight="1" x14ac:dyDescent="0.25">
      <c r="A409" s="8">
        <f t="shared" si="6"/>
        <v>408</v>
      </c>
      <c r="B409" s="24" t="s">
        <v>457</v>
      </c>
      <c r="C409" s="27">
        <v>39545</v>
      </c>
      <c r="D409" s="4">
        <v>42</v>
      </c>
      <c r="E409" s="4" t="s">
        <v>25</v>
      </c>
      <c r="F409" s="4" t="s">
        <v>26</v>
      </c>
      <c r="G409" s="4" t="s">
        <v>21</v>
      </c>
      <c r="H409" s="44" t="s">
        <v>621</v>
      </c>
      <c r="I409" s="5" t="s">
        <v>211</v>
      </c>
      <c r="J409" s="36" t="s">
        <v>450</v>
      </c>
      <c r="K409"/>
      <c r="L409"/>
      <c r="M409"/>
      <c r="N409"/>
      <c r="O409"/>
      <c r="U409" s="2"/>
    </row>
    <row r="410" spans="1:21" ht="22.5" customHeight="1" x14ac:dyDescent="0.25">
      <c r="A410" s="8">
        <f t="shared" si="6"/>
        <v>409</v>
      </c>
      <c r="B410" s="24" t="s">
        <v>486</v>
      </c>
      <c r="C410" s="27">
        <v>39717</v>
      </c>
      <c r="D410" s="4">
        <v>65</v>
      </c>
      <c r="E410" s="4" t="s">
        <v>19</v>
      </c>
      <c r="F410" s="4" t="s">
        <v>26</v>
      </c>
      <c r="G410" s="4" t="s">
        <v>21</v>
      </c>
      <c r="H410" s="44" t="s">
        <v>621</v>
      </c>
      <c r="I410" s="5" t="s">
        <v>211</v>
      </c>
      <c r="J410" s="36" t="s">
        <v>450</v>
      </c>
      <c r="K410"/>
      <c r="L410"/>
      <c r="M410"/>
      <c r="N410"/>
      <c r="O410"/>
      <c r="U410" s="2"/>
    </row>
    <row r="411" spans="1:21" ht="22.5" customHeight="1" x14ac:dyDescent="0.25">
      <c r="A411" s="8">
        <f t="shared" si="6"/>
        <v>410</v>
      </c>
      <c r="B411" s="24" t="s">
        <v>351</v>
      </c>
      <c r="C411" s="27">
        <v>42892</v>
      </c>
      <c r="D411" s="4">
        <v>24</v>
      </c>
      <c r="E411" s="4" t="s">
        <v>19</v>
      </c>
      <c r="F411" s="4" t="s">
        <v>39</v>
      </c>
      <c r="G411" s="4" t="s">
        <v>21</v>
      </c>
      <c r="H411" s="44" t="s">
        <v>620</v>
      </c>
      <c r="I411" s="5" t="s">
        <v>211</v>
      </c>
      <c r="J411" s="36" t="s">
        <v>350</v>
      </c>
      <c r="K411"/>
      <c r="L411"/>
      <c r="M411"/>
      <c r="N411"/>
      <c r="O411"/>
      <c r="U411" s="2"/>
    </row>
    <row r="412" spans="1:21" ht="22.5" customHeight="1" x14ac:dyDescent="0.25">
      <c r="A412" s="8">
        <f t="shared" si="6"/>
        <v>411</v>
      </c>
      <c r="B412" s="24" t="s">
        <v>357</v>
      </c>
      <c r="C412" s="27">
        <v>42238</v>
      </c>
      <c r="D412" s="4">
        <v>50</v>
      </c>
      <c r="E412" s="4" t="s">
        <v>19</v>
      </c>
      <c r="F412" s="4" t="s">
        <v>20</v>
      </c>
      <c r="G412" s="4" t="s">
        <v>21</v>
      </c>
      <c r="H412" s="44" t="s">
        <v>622</v>
      </c>
      <c r="I412" s="5" t="s">
        <v>211</v>
      </c>
      <c r="J412" s="36" t="s">
        <v>350</v>
      </c>
      <c r="K412"/>
      <c r="L412"/>
      <c r="M412"/>
      <c r="N412"/>
      <c r="O412"/>
      <c r="U412" s="2"/>
    </row>
    <row r="413" spans="1:21" ht="22.5" customHeight="1" x14ac:dyDescent="0.25">
      <c r="A413" s="8">
        <f t="shared" si="6"/>
        <v>412</v>
      </c>
      <c r="B413" s="24" t="s">
        <v>352</v>
      </c>
      <c r="C413" s="27">
        <v>41737</v>
      </c>
      <c r="D413" s="4">
        <v>31</v>
      </c>
      <c r="E413" s="4" t="s">
        <v>19</v>
      </c>
      <c r="F413" s="4" t="s">
        <v>34</v>
      </c>
      <c r="G413" s="4" t="s">
        <v>21</v>
      </c>
      <c r="H413" s="44" t="s">
        <v>621</v>
      </c>
      <c r="I413" s="5" t="s">
        <v>211</v>
      </c>
      <c r="J413" s="36" t="s">
        <v>350</v>
      </c>
      <c r="K413"/>
      <c r="L413"/>
      <c r="M413"/>
      <c r="N413"/>
      <c r="O413"/>
      <c r="U413" s="2"/>
    </row>
    <row r="414" spans="1:21" ht="22.5" customHeight="1" x14ac:dyDescent="0.25">
      <c r="A414" s="8">
        <f t="shared" si="6"/>
        <v>413</v>
      </c>
      <c r="B414" s="24" t="s">
        <v>353</v>
      </c>
      <c r="C414" s="27">
        <v>41422</v>
      </c>
      <c r="D414" s="4">
        <v>41</v>
      </c>
      <c r="E414" s="4" t="s">
        <v>25</v>
      </c>
      <c r="F414" s="4" t="s">
        <v>28</v>
      </c>
      <c r="G414" s="4" t="s">
        <v>21</v>
      </c>
      <c r="H414" s="44" t="s">
        <v>622</v>
      </c>
      <c r="I414" s="5" t="s">
        <v>211</v>
      </c>
      <c r="J414" s="36" t="s">
        <v>350</v>
      </c>
      <c r="K414"/>
      <c r="L414"/>
      <c r="M414"/>
      <c r="N414"/>
      <c r="O414"/>
      <c r="U414" s="2"/>
    </row>
    <row r="415" spans="1:21" ht="22.5" customHeight="1" x14ac:dyDescent="0.25">
      <c r="A415" s="8">
        <f t="shared" si="6"/>
        <v>414</v>
      </c>
      <c r="B415" s="24" t="s">
        <v>349</v>
      </c>
      <c r="C415" s="27">
        <v>41594</v>
      </c>
      <c r="D415" s="4">
        <v>39</v>
      </c>
      <c r="E415" s="4" t="s">
        <v>19</v>
      </c>
      <c r="F415" s="4" t="s">
        <v>42</v>
      </c>
      <c r="G415" s="4" t="s">
        <v>21</v>
      </c>
      <c r="H415" s="44" t="s">
        <v>622</v>
      </c>
      <c r="I415" s="5" t="s">
        <v>211</v>
      </c>
      <c r="J415" s="36" t="s">
        <v>350</v>
      </c>
      <c r="K415"/>
      <c r="L415"/>
      <c r="M415"/>
      <c r="N415"/>
      <c r="O415"/>
      <c r="U415" s="2"/>
    </row>
    <row r="416" spans="1:21" ht="22.5" customHeight="1" x14ac:dyDescent="0.25">
      <c r="A416" s="8">
        <f t="shared" si="6"/>
        <v>415</v>
      </c>
      <c r="B416" s="24" t="s">
        <v>355</v>
      </c>
      <c r="C416" s="27">
        <v>40532</v>
      </c>
      <c r="D416" s="4">
        <v>42</v>
      </c>
      <c r="E416" s="4" t="s">
        <v>25</v>
      </c>
      <c r="F416" s="4" t="s">
        <v>20</v>
      </c>
      <c r="G416" s="4" t="s">
        <v>21</v>
      </c>
      <c r="H416" s="44" t="s">
        <v>620</v>
      </c>
      <c r="I416" s="5" t="s">
        <v>211</v>
      </c>
      <c r="J416" s="36" t="s">
        <v>350</v>
      </c>
      <c r="K416"/>
      <c r="L416"/>
      <c r="M416"/>
      <c r="N416"/>
      <c r="O416"/>
      <c r="U416" s="2"/>
    </row>
    <row r="417" spans="1:30" ht="22.5" customHeight="1" x14ac:dyDescent="0.25">
      <c r="A417" s="8">
        <f t="shared" si="6"/>
        <v>416</v>
      </c>
      <c r="B417" s="24" t="s">
        <v>354</v>
      </c>
      <c r="C417" s="27">
        <v>40851</v>
      </c>
      <c r="D417" s="4">
        <v>35</v>
      </c>
      <c r="E417" s="4" t="s">
        <v>19</v>
      </c>
      <c r="F417" s="4" t="s">
        <v>20</v>
      </c>
      <c r="G417" s="4" t="s">
        <v>21</v>
      </c>
      <c r="H417" s="44" t="s">
        <v>620</v>
      </c>
      <c r="I417" s="5" t="s">
        <v>211</v>
      </c>
      <c r="J417" s="36" t="s">
        <v>350</v>
      </c>
      <c r="K417"/>
      <c r="L417"/>
      <c r="M417"/>
      <c r="N417"/>
      <c r="O417"/>
      <c r="U417" s="2"/>
    </row>
    <row r="418" spans="1:30" ht="22.5" customHeight="1" x14ac:dyDescent="0.25">
      <c r="A418" s="8">
        <f t="shared" si="6"/>
        <v>417</v>
      </c>
      <c r="B418" s="24" t="s">
        <v>356</v>
      </c>
      <c r="C418" s="27">
        <v>40806</v>
      </c>
      <c r="D418" s="4">
        <v>48</v>
      </c>
      <c r="E418" s="4" t="s">
        <v>19</v>
      </c>
      <c r="F418" s="4" t="s">
        <v>61</v>
      </c>
      <c r="G418" s="4" t="s">
        <v>21</v>
      </c>
      <c r="H418" s="44" t="s">
        <v>621</v>
      </c>
      <c r="I418" s="5" t="s">
        <v>211</v>
      </c>
      <c r="J418" s="36" t="s">
        <v>350</v>
      </c>
      <c r="K418"/>
      <c r="L418"/>
      <c r="M418"/>
      <c r="N418"/>
      <c r="O418"/>
      <c r="U418" s="2"/>
    </row>
    <row r="419" spans="1:30" ht="22.5" customHeight="1" x14ac:dyDescent="0.25">
      <c r="A419" s="8">
        <f t="shared" si="6"/>
        <v>418</v>
      </c>
      <c r="B419" s="24" t="s">
        <v>361</v>
      </c>
      <c r="C419" s="27">
        <v>42256</v>
      </c>
      <c r="D419" s="4">
        <v>22</v>
      </c>
      <c r="E419" s="4" t="s">
        <v>25</v>
      </c>
      <c r="F419" s="4" t="s">
        <v>39</v>
      </c>
      <c r="G419" s="4" t="s">
        <v>21</v>
      </c>
      <c r="H419" s="44" t="s">
        <v>621</v>
      </c>
      <c r="I419" s="5" t="s">
        <v>211</v>
      </c>
      <c r="J419" s="36" t="s">
        <v>274</v>
      </c>
      <c r="K419"/>
      <c r="L419"/>
      <c r="M419"/>
      <c r="N419"/>
      <c r="O419"/>
      <c r="U419" s="2"/>
    </row>
    <row r="420" spans="1:30" ht="22.5" customHeight="1" x14ac:dyDescent="0.25">
      <c r="A420" s="8">
        <f t="shared" si="6"/>
        <v>419</v>
      </c>
      <c r="B420" s="24" t="s">
        <v>444</v>
      </c>
      <c r="C420" s="27">
        <v>41667</v>
      </c>
      <c r="D420" s="4">
        <v>35</v>
      </c>
      <c r="E420" s="4" t="s">
        <v>25</v>
      </c>
      <c r="F420" s="4" t="s">
        <v>28</v>
      </c>
      <c r="G420" s="4" t="s">
        <v>21</v>
      </c>
      <c r="H420" s="44" t="s">
        <v>620</v>
      </c>
      <c r="I420" s="5" t="s">
        <v>211</v>
      </c>
      <c r="J420" s="36" t="s">
        <v>274</v>
      </c>
      <c r="K420"/>
      <c r="L420"/>
      <c r="M420"/>
      <c r="N420"/>
      <c r="O420"/>
      <c r="U420" s="2"/>
    </row>
    <row r="421" spans="1:30" ht="22.5" customHeight="1" x14ac:dyDescent="0.25">
      <c r="A421" s="8">
        <f t="shared" si="6"/>
        <v>420</v>
      </c>
      <c r="B421" s="24" t="s">
        <v>385</v>
      </c>
      <c r="C421" s="27">
        <v>41761</v>
      </c>
      <c r="D421" s="4">
        <v>38</v>
      </c>
      <c r="E421" s="4" t="s">
        <v>25</v>
      </c>
      <c r="F421" s="4" t="s">
        <v>32</v>
      </c>
      <c r="G421" s="4" t="s">
        <v>21</v>
      </c>
      <c r="H421" s="44" t="s">
        <v>622</v>
      </c>
      <c r="I421" s="5" t="s">
        <v>211</v>
      </c>
      <c r="J421" s="36" t="s">
        <v>274</v>
      </c>
      <c r="K421"/>
      <c r="L421"/>
      <c r="M421"/>
      <c r="N421"/>
      <c r="O421"/>
      <c r="U421" s="2"/>
    </row>
    <row r="422" spans="1:30" ht="22.5" customHeight="1" x14ac:dyDescent="0.25">
      <c r="A422" s="8">
        <f t="shared" si="6"/>
        <v>421</v>
      </c>
      <c r="B422" s="24" t="s">
        <v>617</v>
      </c>
      <c r="C422" s="27">
        <v>41866</v>
      </c>
      <c r="D422" s="4">
        <v>40</v>
      </c>
      <c r="E422" s="4" t="s">
        <v>25</v>
      </c>
      <c r="F422" s="4" t="s">
        <v>618</v>
      </c>
      <c r="G422" s="4" t="s">
        <v>21</v>
      </c>
      <c r="H422" s="44" t="s">
        <v>621</v>
      </c>
      <c r="I422" s="5" t="s">
        <v>211</v>
      </c>
      <c r="J422" s="36" t="s">
        <v>274</v>
      </c>
      <c r="K422"/>
      <c r="L422"/>
      <c r="M422"/>
      <c r="N422"/>
      <c r="O422"/>
      <c r="U422" s="2"/>
    </row>
    <row r="423" spans="1:30" ht="22.5" customHeight="1" x14ac:dyDescent="0.25">
      <c r="A423" s="8">
        <f t="shared" si="6"/>
        <v>422</v>
      </c>
      <c r="B423" s="24" t="s">
        <v>366</v>
      </c>
      <c r="C423" s="27">
        <v>41540</v>
      </c>
      <c r="D423" s="4">
        <v>35</v>
      </c>
      <c r="E423" s="4" t="s">
        <v>25</v>
      </c>
      <c r="F423" s="4" t="s">
        <v>34</v>
      </c>
      <c r="G423" s="4" t="s">
        <v>21</v>
      </c>
      <c r="H423" s="44" t="s">
        <v>622</v>
      </c>
      <c r="I423" s="5" t="s">
        <v>211</v>
      </c>
      <c r="J423" s="36" t="s">
        <v>274</v>
      </c>
      <c r="K423"/>
      <c r="L423"/>
      <c r="M423"/>
      <c r="N423"/>
      <c r="O423"/>
      <c r="U423" s="2"/>
    </row>
    <row r="424" spans="1:30" ht="22.5" customHeight="1" x14ac:dyDescent="0.25">
      <c r="A424" s="8">
        <f t="shared" si="6"/>
        <v>423</v>
      </c>
      <c r="B424" s="24" t="s">
        <v>388</v>
      </c>
      <c r="C424" s="27">
        <v>41497</v>
      </c>
      <c r="D424" s="4">
        <v>40</v>
      </c>
      <c r="E424" s="4" t="s">
        <v>19</v>
      </c>
      <c r="F424" s="4" t="s">
        <v>28</v>
      </c>
      <c r="G424" s="4" t="s">
        <v>21</v>
      </c>
      <c r="H424" s="44" t="s">
        <v>622</v>
      </c>
      <c r="I424" s="5" t="s">
        <v>211</v>
      </c>
      <c r="J424" s="36" t="s">
        <v>274</v>
      </c>
      <c r="K424"/>
      <c r="L424"/>
      <c r="M424"/>
      <c r="N424"/>
      <c r="O424"/>
      <c r="U424" s="2"/>
    </row>
    <row r="425" spans="1:30" ht="22.5" customHeight="1" x14ac:dyDescent="0.25">
      <c r="A425" s="8">
        <f t="shared" si="6"/>
        <v>424</v>
      </c>
      <c r="B425" s="24" t="s">
        <v>599</v>
      </c>
      <c r="C425" s="27">
        <v>40929</v>
      </c>
      <c r="D425" s="4">
        <v>45</v>
      </c>
      <c r="E425" s="4" t="s">
        <v>25</v>
      </c>
      <c r="F425" s="4" t="s">
        <v>28</v>
      </c>
      <c r="G425" s="4" t="s">
        <v>21</v>
      </c>
      <c r="H425" s="44" t="s">
        <v>620</v>
      </c>
      <c r="I425" s="5" t="s">
        <v>211</v>
      </c>
      <c r="J425" s="36" t="s">
        <v>274</v>
      </c>
      <c r="K425"/>
      <c r="L425"/>
      <c r="M425"/>
      <c r="N425"/>
      <c r="O425"/>
      <c r="U425" s="2"/>
    </row>
    <row r="426" spans="1:30" ht="22.5" customHeight="1" x14ac:dyDescent="0.25">
      <c r="A426" s="8">
        <f t="shared" si="6"/>
        <v>425</v>
      </c>
      <c r="B426" s="24" t="s">
        <v>300</v>
      </c>
      <c r="C426" s="27">
        <v>41229</v>
      </c>
      <c r="D426" s="4">
        <v>52</v>
      </c>
      <c r="E426" s="4" t="s">
        <v>25</v>
      </c>
      <c r="F426" s="4" t="s">
        <v>20</v>
      </c>
      <c r="G426" s="4" t="s">
        <v>21</v>
      </c>
      <c r="H426" s="44" t="s">
        <v>620</v>
      </c>
      <c r="I426" s="5" t="s">
        <v>211</v>
      </c>
      <c r="J426" s="36" t="s">
        <v>274</v>
      </c>
      <c r="K426"/>
      <c r="L426"/>
      <c r="M426"/>
      <c r="N426"/>
      <c r="O426"/>
      <c r="U426" s="2"/>
    </row>
    <row r="427" spans="1:30" ht="22.5" customHeight="1" x14ac:dyDescent="0.25">
      <c r="A427" s="8">
        <f t="shared" si="6"/>
        <v>426</v>
      </c>
      <c r="B427" s="24" t="s">
        <v>363</v>
      </c>
      <c r="C427" s="27">
        <v>41230</v>
      </c>
      <c r="D427" s="4">
        <v>43</v>
      </c>
      <c r="E427" s="4" t="s">
        <v>19</v>
      </c>
      <c r="F427" s="4" t="s">
        <v>32</v>
      </c>
      <c r="G427" s="4" t="s">
        <v>21</v>
      </c>
      <c r="H427" s="44" t="s">
        <v>621</v>
      </c>
      <c r="I427" s="5" t="s">
        <v>211</v>
      </c>
      <c r="J427" s="36" t="s">
        <v>274</v>
      </c>
      <c r="K427"/>
      <c r="L427"/>
      <c r="M427"/>
      <c r="N427"/>
      <c r="O427"/>
      <c r="U427" s="2"/>
    </row>
    <row r="428" spans="1:30" ht="22.5" customHeight="1" x14ac:dyDescent="0.25">
      <c r="A428" s="8">
        <f t="shared" si="6"/>
        <v>427</v>
      </c>
      <c r="B428" s="24" t="s">
        <v>273</v>
      </c>
      <c r="C428" s="27">
        <v>41187</v>
      </c>
      <c r="D428" s="4">
        <v>65</v>
      </c>
      <c r="E428" s="4" t="s">
        <v>19</v>
      </c>
      <c r="F428" s="4" t="s">
        <v>32</v>
      </c>
      <c r="G428" s="4" t="s">
        <v>21</v>
      </c>
      <c r="H428" s="44" t="s">
        <v>621</v>
      </c>
      <c r="I428" s="5" t="s">
        <v>211</v>
      </c>
      <c r="J428" s="36" t="s">
        <v>274</v>
      </c>
      <c r="K428"/>
      <c r="L428"/>
      <c r="M428"/>
      <c r="N428"/>
      <c r="O428"/>
      <c r="U428" s="2"/>
    </row>
    <row r="429" spans="1:30" ht="22.5" customHeight="1" x14ac:dyDescent="0.25">
      <c r="A429" s="8">
        <f t="shared" si="6"/>
        <v>428</v>
      </c>
      <c r="B429" s="24" t="s">
        <v>533</v>
      </c>
      <c r="C429" s="27">
        <v>41558</v>
      </c>
      <c r="D429" s="4">
        <v>41</v>
      </c>
      <c r="E429" s="4" t="s">
        <v>25</v>
      </c>
      <c r="F429" s="4" t="s">
        <v>39</v>
      </c>
      <c r="G429" s="4" t="s">
        <v>45</v>
      </c>
      <c r="H429" s="44" t="s">
        <v>620</v>
      </c>
      <c r="I429" s="5" t="s">
        <v>211</v>
      </c>
      <c r="J429" s="36" t="s">
        <v>274</v>
      </c>
      <c r="K429"/>
      <c r="L429"/>
      <c r="M429"/>
      <c r="N429"/>
      <c r="O429"/>
      <c r="U429" s="2"/>
    </row>
    <row r="430" spans="1:30" ht="22.5" customHeight="1" x14ac:dyDescent="0.25">
      <c r="A430" s="8">
        <f t="shared" si="6"/>
        <v>429</v>
      </c>
      <c r="B430" s="24" t="s">
        <v>534</v>
      </c>
      <c r="C430" s="27">
        <v>43149</v>
      </c>
      <c r="D430" s="4">
        <v>32</v>
      </c>
      <c r="E430" s="4" t="s">
        <v>25</v>
      </c>
      <c r="F430" s="4" t="s">
        <v>28</v>
      </c>
      <c r="G430" s="4" t="s">
        <v>21</v>
      </c>
      <c r="H430" s="44" t="s">
        <v>622</v>
      </c>
      <c r="I430" s="5" t="s">
        <v>245</v>
      </c>
      <c r="J430" s="36" t="s">
        <v>246</v>
      </c>
      <c r="K430"/>
      <c r="L430"/>
      <c r="M430"/>
      <c r="N430"/>
      <c r="O430"/>
      <c r="U430" s="2"/>
    </row>
    <row r="431" spans="1:30" ht="22.5" customHeight="1" x14ac:dyDescent="0.25">
      <c r="A431" s="8">
        <f t="shared" si="6"/>
        <v>430</v>
      </c>
      <c r="B431" s="24" t="s">
        <v>367</v>
      </c>
      <c r="C431" s="27">
        <v>43024</v>
      </c>
      <c r="D431" s="4">
        <v>39</v>
      </c>
      <c r="E431" s="4" t="s">
        <v>25</v>
      </c>
      <c r="F431" s="4" t="s">
        <v>42</v>
      </c>
      <c r="G431" s="4" t="s">
        <v>21</v>
      </c>
      <c r="H431" s="44" t="s">
        <v>621</v>
      </c>
      <c r="I431" s="5" t="s">
        <v>245</v>
      </c>
      <c r="J431" s="36" t="s">
        <v>246</v>
      </c>
      <c r="K431" s="2"/>
      <c r="L431" s="2"/>
      <c r="M431" s="2"/>
      <c r="N431" s="2"/>
      <c r="O431" s="2"/>
      <c r="P431" s="2"/>
      <c r="Q431" s="2"/>
      <c r="R431" s="2"/>
      <c r="S431" s="2"/>
      <c r="T431" s="2"/>
      <c r="U431" s="2"/>
      <c r="V431" s="2"/>
      <c r="W431" s="2"/>
      <c r="X431" s="2"/>
      <c r="Y431" s="2"/>
      <c r="Z431" s="2"/>
      <c r="AA431" s="2"/>
      <c r="AB431" s="2"/>
      <c r="AC431" s="2"/>
      <c r="AD431" s="2"/>
    </row>
    <row r="432" spans="1:30" ht="22.5" customHeight="1" x14ac:dyDescent="0.25">
      <c r="A432" s="8">
        <f t="shared" si="6"/>
        <v>431</v>
      </c>
      <c r="B432" s="24" t="s">
        <v>331</v>
      </c>
      <c r="C432" s="27">
        <v>42337</v>
      </c>
      <c r="D432" s="4">
        <v>35</v>
      </c>
      <c r="E432" s="4" t="s">
        <v>25</v>
      </c>
      <c r="F432" s="4" t="s">
        <v>61</v>
      </c>
      <c r="G432" s="4" t="s">
        <v>21</v>
      </c>
      <c r="H432" s="44" t="s">
        <v>622</v>
      </c>
      <c r="I432" s="5" t="s">
        <v>245</v>
      </c>
      <c r="J432" s="36" t="s">
        <v>246</v>
      </c>
      <c r="K432" s="2"/>
      <c r="L432" s="2"/>
      <c r="M432" s="2"/>
      <c r="N432" s="2"/>
      <c r="O432" s="2"/>
      <c r="P432" s="2"/>
      <c r="Q432" s="2"/>
      <c r="R432" s="2"/>
      <c r="S432" s="2"/>
      <c r="T432" s="2"/>
      <c r="U432" s="2"/>
      <c r="V432" s="2"/>
      <c r="W432" s="2"/>
      <c r="X432" s="2"/>
      <c r="Y432" s="2"/>
      <c r="Z432" s="2"/>
      <c r="AA432" s="2"/>
      <c r="AB432" s="2"/>
      <c r="AC432" s="2"/>
      <c r="AD432" s="2"/>
    </row>
    <row r="433" spans="1:21" ht="22.5" customHeight="1" x14ac:dyDescent="0.25">
      <c r="A433" s="8">
        <f t="shared" si="6"/>
        <v>432</v>
      </c>
      <c r="B433" s="24" t="s">
        <v>244</v>
      </c>
      <c r="C433" s="27">
        <v>42197</v>
      </c>
      <c r="D433" s="4">
        <v>35</v>
      </c>
      <c r="E433" s="4" t="s">
        <v>19</v>
      </c>
      <c r="F433" s="4" t="s">
        <v>61</v>
      </c>
      <c r="G433" s="4" t="s">
        <v>21</v>
      </c>
      <c r="H433" s="44" t="s">
        <v>622</v>
      </c>
      <c r="I433" s="5" t="s">
        <v>245</v>
      </c>
      <c r="J433" s="36" t="s">
        <v>246</v>
      </c>
      <c r="K433"/>
      <c r="L433"/>
      <c r="M433"/>
      <c r="N433"/>
      <c r="O433"/>
      <c r="U433" s="2"/>
    </row>
    <row r="434" spans="1:21" ht="22.5" customHeight="1" x14ac:dyDescent="0.25">
      <c r="A434" s="8">
        <f t="shared" si="6"/>
        <v>433</v>
      </c>
      <c r="B434" s="24" t="s">
        <v>381</v>
      </c>
      <c r="C434" s="27">
        <v>42072</v>
      </c>
      <c r="D434" s="4">
        <v>45</v>
      </c>
      <c r="E434" s="4" t="s">
        <v>19</v>
      </c>
      <c r="F434" s="4" t="s">
        <v>32</v>
      </c>
      <c r="G434" s="4" t="s">
        <v>21</v>
      </c>
      <c r="H434" s="44" t="s">
        <v>620</v>
      </c>
      <c r="I434" s="5" t="s">
        <v>245</v>
      </c>
      <c r="J434" s="36" t="s">
        <v>246</v>
      </c>
      <c r="K434"/>
      <c r="L434"/>
      <c r="M434"/>
      <c r="N434"/>
      <c r="O434"/>
      <c r="U434" s="2"/>
    </row>
    <row r="435" spans="1:21" ht="22.5" customHeight="1" x14ac:dyDescent="0.25">
      <c r="A435" s="8">
        <f t="shared" si="6"/>
        <v>434</v>
      </c>
      <c r="B435" s="24" t="s">
        <v>358</v>
      </c>
      <c r="C435" s="27">
        <v>41872</v>
      </c>
      <c r="D435" s="4">
        <v>45</v>
      </c>
      <c r="E435" s="4" t="s">
        <v>25</v>
      </c>
      <c r="F435" s="4" t="s">
        <v>42</v>
      </c>
      <c r="G435" s="4" t="s">
        <v>21</v>
      </c>
      <c r="H435" s="44" t="s">
        <v>620</v>
      </c>
      <c r="I435" s="5" t="s">
        <v>245</v>
      </c>
      <c r="J435" s="36" t="s">
        <v>246</v>
      </c>
      <c r="K435"/>
      <c r="L435"/>
      <c r="M435"/>
      <c r="N435"/>
      <c r="O435"/>
      <c r="U435" s="2"/>
    </row>
    <row r="436" spans="1:21" ht="22.5" customHeight="1" x14ac:dyDescent="0.25">
      <c r="A436" s="8">
        <f t="shared" si="6"/>
        <v>435</v>
      </c>
      <c r="B436" s="24" t="s">
        <v>369</v>
      </c>
      <c r="C436" s="27">
        <v>41527</v>
      </c>
      <c r="D436" s="4">
        <v>49.8</v>
      </c>
      <c r="E436" s="4" t="s">
        <v>25</v>
      </c>
      <c r="F436" s="4" t="s">
        <v>34</v>
      </c>
      <c r="G436" s="4" t="s">
        <v>21</v>
      </c>
      <c r="H436" s="44" t="s">
        <v>621</v>
      </c>
      <c r="I436" s="5" t="s">
        <v>245</v>
      </c>
      <c r="J436" s="36" t="s">
        <v>246</v>
      </c>
      <c r="K436"/>
      <c r="L436"/>
      <c r="M436"/>
      <c r="N436"/>
      <c r="O436"/>
      <c r="U436" s="2"/>
    </row>
    <row r="437" spans="1:21" ht="22.5" customHeight="1" x14ac:dyDescent="0.25">
      <c r="A437" s="8">
        <f t="shared" si="6"/>
        <v>436</v>
      </c>
      <c r="B437" s="24" t="s">
        <v>524</v>
      </c>
      <c r="C437" s="27">
        <v>41526</v>
      </c>
      <c r="D437" s="4">
        <v>39</v>
      </c>
      <c r="E437" s="4" t="s">
        <v>19</v>
      </c>
      <c r="F437" s="4" t="s">
        <v>50</v>
      </c>
      <c r="G437" s="4" t="s">
        <v>21</v>
      </c>
      <c r="H437" s="44" t="s">
        <v>621</v>
      </c>
      <c r="I437" s="5" t="s">
        <v>245</v>
      </c>
      <c r="J437" s="36" t="s">
        <v>246</v>
      </c>
      <c r="K437"/>
      <c r="L437"/>
      <c r="M437"/>
      <c r="N437"/>
      <c r="O437"/>
      <c r="U437" s="2"/>
    </row>
    <row r="438" spans="1:21" ht="22.5" customHeight="1" x14ac:dyDescent="0.25">
      <c r="A438" s="8">
        <f t="shared" si="6"/>
        <v>437</v>
      </c>
      <c r="B438" s="24" t="s">
        <v>540</v>
      </c>
      <c r="C438" s="27">
        <v>43048</v>
      </c>
      <c r="D438" s="4">
        <v>19</v>
      </c>
      <c r="E438" s="4" t="s">
        <v>25</v>
      </c>
      <c r="F438" s="4" t="s">
        <v>39</v>
      </c>
      <c r="G438" s="4" t="s">
        <v>21</v>
      </c>
      <c r="H438" s="44" t="s">
        <v>620</v>
      </c>
      <c r="I438" s="5" t="s">
        <v>537</v>
      </c>
      <c r="J438" s="36" t="s">
        <v>538</v>
      </c>
      <c r="K438"/>
      <c r="L438"/>
      <c r="M438"/>
      <c r="N438"/>
      <c r="O438"/>
      <c r="U438" s="2"/>
    </row>
    <row r="439" spans="1:21" ht="22.5" customHeight="1" x14ac:dyDescent="0.25">
      <c r="A439" s="8">
        <f t="shared" si="6"/>
        <v>438</v>
      </c>
      <c r="B439" s="24" t="s">
        <v>541</v>
      </c>
      <c r="C439" s="27">
        <v>42585</v>
      </c>
      <c r="D439" s="4">
        <v>33</v>
      </c>
      <c r="E439" s="4" t="s">
        <v>25</v>
      </c>
      <c r="F439" s="4" t="s">
        <v>39</v>
      </c>
      <c r="G439" s="4" t="s">
        <v>21</v>
      </c>
      <c r="H439" s="44" t="s">
        <v>622</v>
      </c>
      <c r="I439" s="5" t="s">
        <v>537</v>
      </c>
      <c r="J439" s="36" t="s">
        <v>538</v>
      </c>
      <c r="K439"/>
      <c r="L439"/>
      <c r="M439"/>
      <c r="N439"/>
      <c r="O439"/>
      <c r="U439" s="2"/>
    </row>
    <row r="440" spans="1:21" ht="22.5" customHeight="1" x14ac:dyDescent="0.25">
      <c r="A440" s="8">
        <f t="shared" si="6"/>
        <v>439</v>
      </c>
      <c r="B440" s="24" t="s">
        <v>549</v>
      </c>
      <c r="C440" s="27">
        <v>42221</v>
      </c>
      <c r="D440" s="4">
        <v>20</v>
      </c>
      <c r="E440" s="4" t="s">
        <v>19</v>
      </c>
      <c r="F440" s="4" t="s">
        <v>39</v>
      </c>
      <c r="G440" s="4" t="s">
        <v>21</v>
      </c>
      <c r="H440" s="44" t="s">
        <v>621</v>
      </c>
      <c r="I440" s="5" t="s">
        <v>537</v>
      </c>
      <c r="J440" s="36" t="s">
        <v>538</v>
      </c>
      <c r="K440"/>
      <c r="L440"/>
      <c r="M440"/>
      <c r="N440"/>
      <c r="O440"/>
      <c r="U440" s="2"/>
    </row>
    <row r="441" spans="1:21" ht="22.5" customHeight="1" x14ac:dyDescent="0.25">
      <c r="A441" s="8">
        <f t="shared" si="6"/>
        <v>440</v>
      </c>
      <c r="B441" s="24" t="s">
        <v>545</v>
      </c>
      <c r="C441" s="27">
        <v>41892</v>
      </c>
      <c r="D441" s="4">
        <v>49</v>
      </c>
      <c r="E441" s="4" t="s">
        <v>19</v>
      </c>
      <c r="F441" s="4" t="s">
        <v>42</v>
      </c>
      <c r="G441" s="4" t="s">
        <v>21</v>
      </c>
      <c r="H441" s="44" t="s">
        <v>622</v>
      </c>
      <c r="I441" s="5" t="s">
        <v>537</v>
      </c>
      <c r="J441" s="36" t="s">
        <v>538</v>
      </c>
      <c r="K441"/>
      <c r="L441"/>
      <c r="M441"/>
      <c r="N441"/>
      <c r="O441"/>
      <c r="U441" s="2"/>
    </row>
    <row r="442" spans="1:21" ht="22.5" customHeight="1" x14ac:dyDescent="0.25">
      <c r="A442" s="8">
        <f t="shared" si="6"/>
        <v>441</v>
      </c>
      <c r="B442" s="24" t="s">
        <v>536</v>
      </c>
      <c r="C442" s="27">
        <v>41470</v>
      </c>
      <c r="D442" s="4">
        <v>42</v>
      </c>
      <c r="E442" s="4" t="s">
        <v>25</v>
      </c>
      <c r="F442" s="4" t="s">
        <v>20</v>
      </c>
      <c r="G442" s="4" t="s">
        <v>21</v>
      </c>
      <c r="H442" s="44" t="s">
        <v>622</v>
      </c>
      <c r="I442" s="5" t="s">
        <v>537</v>
      </c>
      <c r="J442" s="36" t="s">
        <v>538</v>
      </c>
      <c r="K442"/>
      <c r="L442"/>
      <c r="M442"/>
      <c r="N442"/>
      <c r="O442"/>
      <c r="U442" s="2"/>
    </row>
    <row r="443" spans="1:21" ht="22.5" customHeight="1" x14ac:dyDescent="0.25">
      <c r="A443" s="8">
        <f t="shared" si="6"/>
        <v>442</v>
      </c>
      <c r="B443" s="24" t="s">
        <v>547</v>
      </c>
      <c r="C443" s="27">
        <v>41555</v>
      </c>
      <c r="D443" s="4">
        <v>39</v>
      </c>
      <c r="E443" s="4" t="s">
        <v>19</v>
      </c>
      <c r="F443" s="4" t="s">
        <v>34</v>
      </c>
      <c r="G443" s="4" t="s">
        <v>21</v>
      </c>
      <c r="H443" s="44" t="s">
        <v>620</v>
      </c>
      <c r="I443" s="5" t="s">
        <v>537</v>
      </c>
      <c r="J443" s="36" t="s">
        <v>538</v>
      </c>
      <c r="K443"/>
      <c r="L443"/>
      <c r="M443"/>
      <c r="N443"/>
      <c r="O443"/>
      <c r="U443" s="2"/>
    </row>
    <row r="444" spans="1:21" ht="22.5" customHeight="1" x14ac:dyDescent="0.25">
      <c r="A444" s="8">
        <f t="shared" si="6"/>
        <v>443</v>
      </c>
      <c r="B444" s="24" t="s">
        <v>543</v>
      </c>
      <c r="C444" s="27">
        <v>40488</v>
      </c>
      <c r="D444" s="4">
        <v>46</v>
      </c>
      <c r="E444" s="4" t="s">
        <v>25</v>
      </c>
      <c r="F444" s="4" t="s">
        <v>39</v>
      </c>
      <c r="G444" s="4" t="s">
        <v>21</v>
      </c>
      <c r="H444" s="44" t="s">
        <v>620</v>
      </c>
      <c r="I444" s="5" t="s">
        <v>537</v>
      </c>
      <c r="J444" s="36" t="s">
        <v>538</v>
      </c>
      <c r="K444"/>
      <c r="L444"/>
      <c r="M444"/>
      <c r="N444"/>
      <c r="O444"/>
      <c r="U444" s="2"/>
    </row>
    <row r="445" spans="1:21" ht="22.5" customHeight="1" x14ac:dyDescent="0.25">
      <c r="A445" s="8">
        <f t="shared" si="6"/>
        <v>444</v>
      </c>
      <c r="B445" s="24" t="s">
        <v>548</v>
      </c>
      <c r="C445" s="27">
        <v>40761</v>
      </c>
      <c r="D445" s="4">
        <v>59</v>
      </c>
      <c r="E445" s="4" t="s">
        <v>25</v>
      </c>
      <c r="F445" s="4" t="s">
        <v>42</v>
      </c>
      <c r="G445" s="4" t="s">
        <v>21</v>
      </c>
      <c r="H445" s="44" t="s">
        <v>621</v>
      </c>
      <c r="I445" s="5" t="s">
        <v>537</v>
      </c>
      <c r="J445" s="36" t="s">
        <v>538</v>
      </c>
      <c r="K445"/>
      <c r="L445"/>
      <c r="M445"/>
      <c r="N445"/>
      <c r="O445"/>
      <c r="U445" s="2"/>
    </row>
    <row r="446" spans="1:21" ht="22.5" customHeight="1" x14ac:dyDescent="0.25">
      <c r="A446" s="8">
        <f t="shared" si="6"/>
        <v>445</v>
      </c>
      <c r="B446" s="24" t="s">
        <v>546</v>
      </c>
      <c r="C446" s="27">
        <v>40790</v>
      </c>
      <c r="D446" s="4">
        <v>48</v>
      </c>
      <c r="E446" s="4" t="s">
        <v>19</v>
      </c>
      <c r="F446" s="4" t="s">
        <v>34</v>
      </c>
      <c r="G446" s="4" t="s">
        <v>21</v>
      </c>
      <c r="H446" s="44" t="s">
        <v>621</v>
      </c>
      <c r="I446" s="5" t="s">
        <v>537</v>
      </c>
      <c r="J446" s="36" t="s">
        <v>538</v>
      </c>
      <c r="K446"/>
      <c r="L446"/>
      <c r="M446"/>
      <c r="N446"/>
      <c r="O446"/>
      <c r="U446" s="2"/>
    </row>
    <row r="447" spans="1:21" ht="22.5" customHeight="1" x14ac:dyDescent="0.25">
      <c r="A447" s="8">
        <f t="shared" si="6"/>
        <v>446</v>
      </c>
      <c r="B447" s="24" t="s">
        <v>544</v>
      </c>
      <c r="C447" s="27">
        <v>40238</v>
      </c>
      <c r="D447" s="4">
        <v>46</v>
      </c>
      <c r="E447" s="4" t="s">
        <v>19</v>
      </c>
      <c r="F447" s="4" t="s">
        <v>34</v>
      </c>
      <c r="G447" s="4" t="s">
        <v>21</v>
      </c>
      <c r="H447" s="44" t="s">
        <v>620</v>
      </c>
      <c r="I447" s="5" t="s">
        <v>537</v>
      </c>
      <c r="J447" s="36" t="s">
        <v>538</v>
      </c>
      <c r="K447"/>
      <c r="L447"/>
      <c r="M447"/>
      <c r="N447"/>
      <c r="O447"/>
      <c r="U447" s="2"/>
    </row>
    <row r="448" spans="1:21" ht="22.5" customHeight="1" x14ac:dyDescent="0.25">
      <c r="A448" s="8">
        <f t="shared" si="6"/>
        <v>447</v>
      </c>
      <c r="B448" s="24" t="s">
        <v>539</v>
      </c>
      <c r="C448" s="27">
        <v>39512</v>
      </c>
      <c r="D448" s="4">
        <v>54</v>
      </c>
      <c r="E448" s="4" t="s">
        <v>25</v>
      </c>
      <c r="F448" s="4" t="s">
        <v>20</v>
      </c>
      <c r="G448" s="4" t="s">
        <v>21</v>
      </c>
      <c r="H448" s="44" t="s">
        <v>622</v>
      </c>
      <c r="I448" s="5" t="s">
        <v>537</v>
      </c>
      <c r="J448" s="36" t="s">
        <v>538</v>
      </c>
      <c r="K448"/>
      <c r="L448"/>
      <c r="M448"/>
      <c r="N448"/>
      <c r="O448"/>
      <c r="U448" s="2"/>
    </row>
    <row r="449" spans="1:21" ht="22.5" customHeight="1" x14ac:dyDescent="0.25">
      <c r="A449" s="8">
        <f t="shared" si="6"/>
        <v>448</v>
      </c>
      <c r="B449" s="24" t="s">
        <v>542</v>
      </c>
      <c r="C449" s="27">
        <v>39970</v>
      </c>
      <c r="D449" s="4">
        <v>43</v>
      </c>
      <c r="E449" s="4" t="s">
        <v>19</v>
      </c>
      <c r="F449" s="4" t="s">
        <v>39</v>
      </c>
      <c r="G449" s="4" t="s">
        <v>21</v>
      </c>
      <c r="H449" s="44" t="s">
        <v>621</v>
      </c>
      <c r="I449" s="5" t="s">
        <v>537</v>
      </c>
      <c r="J449" s="36" t="s">
        <v>538</v>
      </c>
      <c r="K449"/>
      <c r="L449"/>
      <c r="M449"/>
      <c r="N449"/>
      <c r="O449"/>
      <c r="U449" s="2"/>
    </row>
    <row r="450" spans="1:21" ht="22.5" customHeight="1" x14ac:dyDescent="0.25">
      <c r="A450" s="8">
        <f t="shared" si="6"/>
        <v>449</v>
      </c>
      <c r="B450" s="24" t="s">
        <v>553</v>
      </c>
      <c r="C450" s="27">
        <v>39115</v>
      </c>
      <c r="D450" s="4">
        <v>49</v>
      </c>
      <c r="E450" s="4" t="s">
        <v>25</v>
      </c>
      <c r="F450" s="4" t="s">
        <v>20</v>
      </c>
      <c r="G450" s="4" t="s">
        <v>21</v>
      </c>
      <c r="H450" s="44" t="s">
        <v>622</v>
      </c>
      <c r="I450" s="5" t="s">
        <v>537</v>
      </c>
      <c r="J450" s="36" t="s">
        <v>538</v>
      </c>
      <c r="K450"/>
      <c r="L450"/>
      <c r="M450"/>
      <c r="N450"/>
      <c r="O450"/>
      <c r="U450" s="2"/>
    </row>
    <row r="451" spans="1:21" ht="22.5" customHeight="1" x14ac:dyDescent="0.25">
      <c r="A451" s="8">
        <f t="shared" ref="A451:A514" si="7">A450+1</f>
        <v>450</v>
      </c>
      <c r="B451" s="24" t="s">
        <v>255</v>
      </c>
      <c r="C451" s="27">
        <v>43568</v>
      </c>
      <c r="D451" s="4">
        <v>16</v>
      </c>
      <c r="E451" s="4" t="s">
        <v>25</v>
      </c>
      <c r="F451" s="4" t="s">
        <v>39</v>
      </c>
      <c r="G451" s="4" t="s">
        <v>21</v>
      </c>
      <c r="H451" s="44" t="s">
        <v>622</v>
      </c>
      <c r="I451" s="5" t="s">
        <v>248</v>
      </c>
      <c r="J451" s="36" t="s">
        <v>249</v>
      </c>
      <c r="K451"/>
      <c r="L451"/>
      <c r="M451"/>
      <c r="N451"/>
      <c r="O451"/>
      <c r="U451" s="2"/>
    </row>
    <row r="452" spans="1:21" ht="22.5" customHeight="1" x14ac:dyDescent="0.25">
      <c r="A452" s="8">
        <f t="shared" si="7"/>
        <v>451</v>
      </c>
      <c r="B452" s="24" t="s">
        <v>251</v>
      </c>
      <c r="C452" s="27">
        <v>43437</v>
      </c>
      <c r="D452" s="4">
        <v>23</v>
      </c>
      <c r="E452" s="4" t="s">
        <v>25</v>
      </c>
      <c r="F452" s="4" t="s">
        <v>39</v>
      </c>
      <c r="G452" s="4" t="s">
        <v>21</v>
      </c>
      <c r="H452" s="44" t="s">
        <v>620</v>
      </c>
      <c r="I452" s="5" t="s">
        <v>248</v>
      </c>
      <c r="J452" s="36" t="s">
        <v>249</v>
      </c>
      <c r="K452"/>
      <c r="L452"/>
      <c r="M452"/>
      <c r="N452"/>
      <c r="O452"/>
      <c r="U452" s="2"/>
    </row>
    <row r="453" spans="1:21" ht="22.5" customHeight="1" x14ac:dyDescent="0.25">
      <c r="A453" s="8">
        <f t="shared" si="7"/>
        <v>452</v>
      </c>
      <c r="B453" s="24" t="s">
        <v>250</v>
      </c>
      <c r="C453" s="27">
        <v>42971</v>
      </c>
      <c r="D453" s="4">
        <v>23</v>
      </c>
      <c r="E453" s="4" t="s">
        <v>25</v>
      </c>
      <c r="F453" s="4" t="s">
        <v>39</v>
      </c>
      <c r="G453" s="4" t="s">
        <v>21</v>
      </c>
      <c r="H453" s="44" t="s">
        <v>620</v>
      </c>
      <c r="I453" s="5" t="s">
        <v>248</v>
      </c>
      <c r="J453" s="36" t="s">
        <v>249</v>
      </c>
      <c r="K453"/>
      <c r="L453"/>
      <c r="M453"/>
      <c r="N453"/>
      <c r="O453"/>
      <c r="U453" s="2"/>
    </row>
    <row r="454" spans="1:21" ht="22.5" customHeight="1" x14ac:dyDescent="0.25">
      <c r="A454" s="8">
        <f t="shared" si="7"/>
        <v>453</v>
      </c>
      <c r="B454" s="24" t="s">
        <v>550</v>
      </c>
      <c r="C454" s="27">
        <v>43001</v>
      </c>
      <c r="D454" s="4">
        <v>25</v>
      </c>
      <c r="E454" s="4" t="s">
        <v>25</v>
      </c>
      <c r="F454" s="4" t="s">
        <v>39</v>
      </c>
      <c r="G454" s="4" t="s">
        <v>21</v>
      </c>
      <c r="H454" s="44" t="s">
        <v>621</v>
      </c>
      <c r="I454" s="5" t="s">
        <v>248</v>
      </c>
      <c r="J454" s="36" t="s">
        <v>249</v>
      </c>
      <c r="K454"/>
      <c r="L454"/>
      <c r="M454"/>
      <c r="N454"/>
      <c r="O454"/>
      <c r="U454" s="2"/>
    </row>
    <row r="455" spans="1:21" ht="22.5" customHeight="1" x14ac:dyDescent="0.25">
      <c r="A455" s="8">
        <f t="shared" si="7"/>
        <v>454</v>
      </c>
      <c r="B455" s="24" t="s">
        <v>252</v>
      </c>
      <c r="C455" s="27">
        <v>42881</v>
      </c>
      <c r="D455" s="4">
        <v>30</v>
      </c>
      <c r="E455" s="4" t="s">
        <v>25</v>
      </c>
      <c r="F455" s="4" t="s">
        <v>39</v>
      </c>
      <c r="G455" s="4" t="s">
        <v>21</v>
      </c>
      <c r="H455" s="44" t="s">
        <v>621</v>
      </c>
      <c r="I455" s="5" t="s">
        <v>248</v>
      </c>
      <c r="J455" s="36" t="s">
        <v>249</v>
      </c>
      <c r="K455"/>
      <c r="L455"/>
      <c r="M455"/>
      <c r="N455"/>
      <c r="O455"/>
    </row>
    <row r="456" spans="1:21" ht="22.5" customHeight="1" x14ac:dyDescent="0.25">
      <c r="A456" s="8">
        <f t="shared" si="7"/>
        <v>455</v>
      </c>
      <c r="B456" s="24" t="s">
        <v>253</v>
      </c>
      <c r="C456" s="27">
        <v>42993</v>
      </c>
      <c r="D456" s="4">
        <v>33</v>
      </c>
      <c r="E456" s="4" t="s">
        <v>25</v>
      </c>
      <c r="F456" s="4" t="s">
        <v>39</v>
      </c>
      <c r="G456" s="4" t="s">
        <v>21</v>
      </c>
      <c r="H456" s="44" t="s">
        <v>620</v>
      </c>
      <c r="I456" s="5" t="s">
        <v>248</v>
      </c>
      <c r="J456" s="36" t="s">
        <v>249</v>
      </c>
      <c r="K456"/>
      <c r="L456"/>
      <c r="M456"/>
      <c r="N456"/>
      <c r="O456"/>
    </row>
    <row r="457" spans="1:21" ht="22.5" customHeight="1" x14ac:dyDescent="0.25">
      <c r="A457" s="8">
        <f t="shared" si="7"/>
        <v>456</v>
      </c>
      <c r="B457" s="24" t="s">
        <v>256</v>
      </c>
      <c r="C457" s="27">
        <v>42965</v>
      </c>
      <c r="D457" s="4">
        <v>23</v>
      </c>
      <c r="E457" s="4" t="s">
        <v>19</v>
      </c>
      <c r="F457" s="4" t="s">
        <v>42</v>
      </c>
      <c r="G457" s="4" t="s">
        <v>21</v>
      </c>
      <c r="H457" s="44" t="s">
        <v>622</v>
      </c>
      <c r="I457" s="5" t="s">
        <v>248</v>
      </c>
      <c r="J457" s="36" t="s">
        <v>249</v>
      </c>
      <c r="K457"/>
      <c r="L457"/>
      <c r="M457"/>
      <c r="N457"/>
      <c r="O457"/>
    </row>
    <row r="458" spans="1:21" ht="22.5" customHeight="1" x14ac:dyDescent="0.25">
      <c r="A458" s="8">
        <f t="shared" si="7"/>
        <v>457</v>
      </c>
      <c r="B458" s="24" t="s">
        <v>254</v>
      </c>
      <c r="C458" s="27">
        <v>42906</v>
      </c>
      <c r="D458" s="4">
        <v>30</v>
      </c>
      <c r="E458" s="4" t="s">
        <v>19</v>
      </c>
      <c r="F458" s="4" t="s">
        <v>42</v>
      </c>
      <c r="G458" s="4" t="s">
        <v>21</v>
      </c>
      <c r="H458" s="44" t="s">
        <v>621</v>
      </c>
      <c r="I458" s="5" t="s">
        <v>248</v>
      </c>
      <c r="J458" s="36" t="s">
        <v>249</v>
      </c>
      <c r="K458"/>
      <c r="L458"/>
      <c r="M458"/>
      <c r="N458"/>
      <c r="O458"/>
    </row>
    <row r="459" spans="1:21" ht="22.5" customHeight="1" x14ac:dyDescent="0.25">
      <c r="A459" s="8">
        <f t="shared" si="7"/>
        <v>458</v>
      </c>
      <c r="B459" s="24" t="s">
        <v>257</v>
      </c>
      <c r="C459" s="27">
        <v>42720</v>
      </c>
      <c r="D459" s="4">
        <v>30</v>
      </c>
      <c r="E459" s="4" t="s">
        <v>19</v>
      </c>
      <c r="F459" s="4" t="s">
        <v>20</v>
      </c>
      <c r="G459" s="4" t="s">
        <v>21</v>
      </c>
      <c r="H459" s="44" t="s">
        <v>622</v>
      </c>
      <c r="I459" s="5" t="s">
        <v>248</v>
      </c>
      <c r="J459" s="36" t="s">
        <v>249</v>
      </c>
      <c r="K459"/>
      <c r="L459"/>
      <c r="M459"/>
      <c r="N459"/>
      <c r="O459"/>
    </row>
    <row r="460" spans="1:21" ht="22.5" customHeight="1" x14ac:dyDescent="0.25">
      <c r="A460" s="8">
        <f t="shared" si="7"/>
        <v>459</v>
      </c>
      <c r="B460" s="24" t="s">
        <v>424</v>
      </c>
      <c r="C460" s="27">
        <v>41514</v>
      </c>
      <c r="D460" s="4">
        <v>39</v>
      </c>
      <c r="E460" s="4" t="s">
        <v>19</v>
      </c>
      <c r="F460" s="4" t="s">
        <v>61</v>
      </c>
      <c r="G460" s="4" t="s">
        <v>21</v>
      </c>
      <c r="H460" s="44" t="s">
        <v>622</v>
      </c>
      <c r="I460" s="5" t="s">
        <v>248</v>
      </c>
      <c r="J460" s="36" t="s">
        <v>249</v>
      </c>
      <c r="K460"/>
      <c r="L460"/>
      <c r="M460"/>
      <c r="N460"/>
      <c r="O460"/>
    </row>
    <row r="461" spans="1:21" ht="22.5" customHeight="1" x14ac:dyDescent="0.25">
      <c r="A461" s="8">
        <f t="shared" si="7"/>
        <v>460</v>
      </c>
      <c r="B461" s="24" t="s">
        <v>247</v>
      </c>
      <c r="C461" s="27">
        <v>40977</v>
      </c>
      <c r="D461" s="4">
        <v>43</v>
      </c>
      <c r="E461" s="4" t="s">
        <v>25</v>
      </c>
      <c r="F461" s="4" t="s">
        <v>37</v>
      </c>
      <c r="G461" s="4" t="s">
        <v>21</v>
      </c>
      <c r="H461" s="44" t="s">
        <v>620</v>
      </c>
      <c r="I461" s="5" t="s">
        <v>248</v>
      </c>
      <c r="J461" s="36" t="s">
        <v>249</v>
      </c>
      <c r="K461"/>
      <c r="L461"/>
      <c r="M461"/>
      <c r="N461"/>
      <c r="O461"/>
    </row>
    <row r="462" spans="1:21" ht="22.5" customHeight="1" x14ac:dyDescent="0.25">
      <c r="A462" s="8">
        <f t="shared" si="7"/>
        <v>461</v>
      </c>
      <c r="B462" s="24" t="s">
        <v>208</v>
      </c>
      <c r="C462" s="27">
        <v>43070</v>
      </c>
      <c r="D462" s="4">
        <v>22</v>
      </c>
      <c r="E462" s="4" t="s">
        <v>25</v>
      </c>
      <c r="F462" s="4" t="s">
        <v>28</v>
      </c>
      <c r="G462" s="4" t="s">
        <v>21</v>
      </c>
      <c r="H462" s="44" t="s">
        <v>620</v>
      </c>
      <c r="I462" s="5" t="s">
        <v>205</v>
      </c>
      <c r="J462" s="36" t="s">
        <v>206</v>
      </c>
      <c r="K462"/>
      <c r="L462"/>
      <c r="M462"/>
      <c r="N462"/>
      <c r="O462"/>
    </row>
    <row r="463" spans="1:21" ht="22.5" customHeight="1" x14ac:dyDescent="0.25">
      <c r="A463" s="8">
        <f t="shared" si="7"/>
        <v>462</v>
      </c>
      <c r="B463" s="24" t="s">
        <v>272</v>
      </c>
      <c r="C463" s="27">
        <v>42642</v>
      </c>
      <c r="D463" s="4">
        <v>25</v>
      </c>
      <c r="E463" s="4" t="s">
        <v>19</v>
      </c>
      <c r="F463" s="4" t="s">
        <v>20</v>
      </c>
      <c r="G463" s="4" t="s">
        <v>21</v>
      </c>
      <c r="H463" s="44" t="s">
        <v>621</v>
      </c>
      <c r="I463" s="5" t="s">
        <v>205</v>
      </c>
      <c r="J463" s="36" t="s">
        <v>206</v>
      </c>
      <c r="K463"/>
      <c r="L463"/>
      <c r="M463"/>
      <c r="N463"/>
      <c r="O463"/>
    </row>
    <row r="464" spans="1:21" ht="22.5" customHeight="1" x14ac:dyDescent="0.25">
      <c r="A464" s="8">
        <f t="shared" si="7"/>
        <v>463</v>
      </c>
      <c r="B464" s="24" t="s">
        <v>209</v>
      </c>
      <c r="C464" s="27">
        <v>42197</v>
      </c>
      <c r="D464" s="4">
        <v>23</v>
      </c>
      <c r="E464" s="4" t="s">
        <v>19</v>
      </c>
      <c r="F464" s="4" t="s">
        <v>20</v>
      </c>
      <c r="G464" s="4" t="s">
        <v>21</v>
      </c>
      <c r="H464" s="44" t="s">
        <v>621</v>
      </c>
      <c r="I464" s="5" t="s">
        <v>205</v>
      </c>
      <c r="J464" s="36" t="s">
        <v>206</v>
      </c>
      <c r="K464"/>
      <c r="L464"/>
      <c r="M464"/>
      <c r="N464"/>
      <c r="O464"/>
    </row>
    <row r="465" spans="1:15" ht="22.5" customHeight="1" x14ac:dyDescent="0.25">
      <c r="A465" s="8">
        <f t="shared" si="7"/>
        <v>464</v>
      </c>
      <c r="B465" s="24" t="s">
        <v>409</v>
      </c>
      <c r="C465" s="27">
        <v>42298</v>
      </c>
      <c r="D465" s="4">
        <v>35</v>
      </c>
      <c r="E465" s="4" t="s">
        <v>19</v>
      </c>
      <c r="F465" s="4" t="s">
        <v>20</v>
      </c>
      <c r="G465" s="4" t="s">
        <v>21</v>
      </c>
      <c r="H465" s="44" t="s">
        <v>620</v>
      </c>
      <c r="I465" s="5" t="s">
        <v>205</v>
      </c>
      <c r="J465" s="36" t="s">
        <v>206</v>
      </c>
      <c r="K465"/>
      <c r="L465"/>
      <c r="M465"/>
      <c r="N465"/>
      <c r="O465"/>
    </row>
    <row r="466" spans="1:15" ht="22.5" customHeight="1" x14ac:dyDescent="0.25">
      <c r="A466" s="8">
        <f t="shared" si="7"/>
        <v>465</v>
      </c>
      <c r="B466" s="24" t="s">
        <v>602</v>
      </c>
      <c r="C466" s="32">
        <v>42187</v>
      </c>
      <c r="D466" s="25">
        <v>49</v>
      </c>
      <c r="E466" s="25" t="s">
        <v>607</v>
      </c>
      <c r="F466" s="25" t="s">
        <v>608</v>
      </c>
      <c r="G466" s="25" t="s">
        <v>612</v>
      </c>
      <c r="H466" s="44" t="s">
        <v>622</v>
      </c>
      <c r="I466" s="5" t="s">
        <v>205</v>
      </c>
      <c r="J466" s="36" t="s">
        <v>206</v>
      </c>
      <c r="K466"/>
      <c r="L466"/>
      <c r="M466"/>
      <c r="N466"/>
      <c r="O466"/>
    </row>
    <row r="467" spans="1:15" ht="22.5" customHeight="1" x14ac:dyDescent="0.25">
      <c r="A467" s="8">
        <f t="shared" si="7"/>
        <v>466</v>
      </c>
      <c r="B467" s="24" t="s">
        <v>267</v>
      </c>
      <c r="C467" s="27">
        <v>41472</v>
      </c>
      <c r="D467" s="4">
        <v>39</v>
      </c>
      <c r="E467" s="4" t="s">
        <v>25</v>
      </c>
      <c r="F467" s="4" t="s">
        <v>34</v>
      </c>
      <c r="G467" s="4" t="s">
        <v>21</v>
      </c>
      <c r="H467" s="44" t="s">
        <v>621</v>
      </c>
      <c r="I467" s="5" t="s">
        <v>205</v>
      </c>
      <c r="J467" s="36" t="s">
        <v>206</v>
      </c>
      <c r="K467"/>
      <c r="L467"/>
      <c r="M467"/>
      <c r="N467"/>
      <c r="O467"/>
    </row>
    <row r="468" spans="1:15" ht="22.5" customHeight="1" x14ac:dyDescent="0.25">
      <c r="A468" s="8">
        <f t="shared" si="7"/>
        <v>467</v>
      </c>
      <c r="B468" s="24" t="s">
        <v>302</v>
      </c>
      <c r="C468" s="27">
        <v>41598</v>
      </c>
      <c r="D468" s="4">
        <v>26.6</v>
      </c>
      <c r="E468" s="4" t="s">
        <v>19</v>
      </c>
      <c r="F468" s="4" t="s">
        <v>37</v>
      </c>
      <c r="G468" s="4" t="s">
        <v>21</v>
      </c>
      <c r="H468" s="44" t="s">
        <v>622</v>
      </c>
      <c r="I468" s="5" t="s">
        <v>205</v>
      </c>
      <c r="J468" s="36" t="s">
        <v>206</v>
      </c>
      <c r="K468"/>
      <c r="L468"/>
      <c r="M468"/>
      <c r="N468"/>
      <c r="O468"/>
    </row>
    <row r="469" spans="1:15" ht="22.5" customHeight="1" x14ac:dyDescent="0.25">
      <c r="A469" s="8">
        <f t="shared" si="7"/>
        <v>468</v>
      </c>
      <c r="B469" s="24" t="s">
        <v>301</v>
      </c>
      <c r="C469" s="27">
        <v>41598</v>
      </c>
      <c r="D469" s="4">
        <v>28</v>
      </c>
      <c r="E469" s="4" t="s">
        <v>19</v>
      </c>
      <c r="F469" s="4" t="s">
        <v>37</v>
      </c>
      <c r="G469" s="4" t="s">
        <v>21</v>
      </c>
      <c r="H469" s="44" t="s">
        <v>622</v>
      </c>
      <c r="I469" s="5" t="s">
        <v>205</v>
      </c>
      <c r="J469" s="36" t="s">
        <v>206</v>
      </c>
      <c r="K469"/>
      <c r="L469"/>
      <c r="M469"/>
      <c r="N469"/>
      <c r="O469"/>
    </row>
    <row r="470" spans="1:15" ht="22.5" customHeight="1" x14ac:dyDescent="0.25">
      <c r="A470" s="8">
        <f t="shared" si="7"/>
        <v>469</v>
      </c>
      <c r="B470" s="24" t="s">
        <v>416</v>
      </c>
      <c r="C470" s="27">
        <v>41488</v>
      </c>
      <c r="D470" s="4">
        <v>34</v>
      </c>
      <c r="E470" s="4" t="s">
        <v>19</v>
      </c>
      <c r="F470" s="4" t="s">
        <v>61</v>
      </c>
      <c r="G470" s="4" t="s">
        <v>21</v>
      </c>
      <c r="H470" s="44" t="s">
        <v>620</v>
      </c>
      <c r="I470" s="5" t="s">
        <v>205</v>
      </c>
      <c r="J470" s="36" t="s">
        <v>206</v>
      </c>
      <c r="K470"/>
      <c r="L470"/>
      <c r="M470"/>
      <c r="N470"/>
      <c r="O470"/>
    </row>
    <row r="471" spans="1:15" ht="22.5" customHeight="1" x14ac:dyDescent="0.25">
      <c r="A471" s="8">
        <f t="shared" si="7"/>
        <v>470</v>
      </c>
      <c r="B471" s="24" t="s">
        <v>531</v>
      </c>
      <c r="C471" s="27">
        <v>41522</v>
      </c>
      <c r="D471" s="4">
        <v>34</v>
      </c>
      <c r="E471" s="4" t="s">
        <v>19</v>
      </c>
      <c r="F471" s="4" t="s">
        <v>26</v>
      </c>
      <c r="G471" s="4" t="s">
        <v>21</v>
      </c>
      <c r="H471" s="44" t="s">
        <v>620</v>
      </c>
      <c r="I471" s="5" t="s">
        <v>205</v>
      </c>
      <c r="J471" s="36" t="s">
        <v>206</v>
      </c>
      <c r="K471"/>
      <c r="L471"/>
      <c r="M471"/>
      <c r="N471"/>
      <c r="O471"/>
    </row>
    <row r="472" spans="1:15" ht="22.5" customHeight="1" x14ac:dyDescent="0.25">
      <c r="A472" s="8">
        <f t="shared" si="7"/>
        <v>471</v>
      </c>
      <c r="B472" s="24" t="s">
        <v>606</v>
      </c>
      <c r="C472" s="32">
        <v>41422</v>
      </c>
      <c r="D472" s="25">
        <v>33</v>
      </c>
      <c r="E472" s="25" t="s">
        <v>607</v>
      </c>
      <c r="F472" s="25" t="s">
        <v>611</v>
      </c>
      <c r="G472" s="25" t="s">
        <v>612</v>
      </c>
      <c r="H472" s="44" t="s">
        <v>621</v>
      </c>
      <c r="I472" s="5" t="s">
        <v>205</v>
      </c>
      <c r="J472" s="36" t="s">
        <v>206</v>
      </c>
      <c r="K472"/>
      <c r="L472"/>
      <c r="M472"/>
      <c r="N472"/>
      <c r="O472"/>
    </row>
    <row r="473" spans="1:15" ht="22.5" customHeight="1" x14ac:dyDescent="0.25">
      <c r="A473" s="8">
        <f t="shared" si="7"/>
        <v>472</v>
      </c>
      <c r="B473" s="24" t="s">
        <v>604</v>
      </c>
      <c r="C473" s="32">
        <v>41273</v>
      </c>
      <c r="D473" s="25">
        <v>55</v>
      </c>
      <c r="E473" s="25" t="s">
        <v>607</v>
      </c>
      <c r="F473" s="25" t="s">
        <v>609</v>
      </c>
      <c r="G473" s="25" t="s">
        <v>612</v>
      </c>
      <c r="H473" s="44" t="s">
        <v>621</v>
      </c>
      <c r="I473" s="5" t="s">
        <v>205</v>
      </c>
      <c r="J473" s="36" t="s">
        <v>206</v>
      </c>
      <c r="K473"/>
      <c r="L473"/>
      <c r="M473"/>
      <c r="N473"/>
      <c r="O473"/>
    </row>
    <row r="474" spans="1:15" ht="22.5" customHeight="1" x14ac:dyDescent="0.25">
      <c r="A474" s="8">
        <f t="shared" si="7"/>
        <v>473</v>
      </c>
      <c r="B474" s="24" t="s">
        <v>269</v>
      </c>
      <c r="C474" s="27">
        <v>41275</v>
      </c>
      <c r="D474" s="4">
        <v>45</v>
      </c>
      <c r="E474" s="4" t="s">
        <v>19</v>
      </c>
      <c r="F474" s="4" t="s">
        <v>32</v>
      </c>
      <c r="G474" s="4" t="s">
        <v>21</v>
      </c>
      <c r="H474" s="44" t="s">
        <v>620</v>
      </c>
      <c r="I474" s="5" t="s">
        <v>205</v>
      </c>
      <c r="J474" s="36" t="s">
        <v>206</v>
      </c>
      <c r="K474"/>
      <c r="L474"/>
      <c r="M474"/>
      <c r="N474"/>
      <c r="O474"/>
    </row>
    <row r="475" spans="1:15" ht="22.5" customHeight="1" x14ac:dyDescent="0.25">
      <c r="A475" s="8">
        <f t="shared" si="7"/>
        <v>474</v>
      </c>
      <c r="B475" s="24" t="s">
        <v>560</v>
      </c>
      <c r="C475" s="27">
        <v>41531</v>
      </c>
      <c r="D475" s="4">
        <v>49</v>
      </c>
      <c r="E475" s="4" t="s">
        <v>19</v>
      </c>
      <c r="F475" s="4" t="s">
        <v>37</v>
      </c>
      <c r="G475" s="4" t="s">
        <v>21</v>
      </c>
      <c r="H475" s="44" t="s">
        <v>622</v>
      </c>
      <c r="I475" s="5" t="s">
        <v>205</v>
      </c>
      <c r="J475" s="36" t="s">
        <v>206</v>
      </c>
      <c r="K475"/>
      <c r="L475"/>
      <c r="M475"/>
      <c r="N475"/>
      <c r="O475"/>
    </row>
    <row r="476" spans="1:15" ht="22.5" customHeight="1" x14ac:dyDescent="0.25">
      <c r="A476" s="8">
        <f t="shared" si="7"/>
        <v>475</v>
      </c>
      <c r="B476" s="24" t="s">
        <v>204</v>
      </c>
      <c r="C476" s="27">
        <v>41142</v>
      </c>
      <c r="D476" s="4">
        <v>32</v>
      </c>
      <c r="E476" s="4" t="s">
        <v>25</v>
      </c>
      <c r="F476" s="4" t="s">
        <v>61</v>
      </c>
      <c r="G476" s="4" t="s">
        <v>21</v>
      </c>
      <c r="H476" s="44" t="s">
        <v>621</v>
      </c>
      <c r="I476" s="5" t="s">
        <v>205</v>
      </c>
      <c r="J476" s="36" t="s">
        <v>206</v>
      </c>
      <c r="K476"/>
      <c r="L476"/>
      <c r="M476"/>
      <c r="N476"/>
      <c r="O476"/>
    </row>
    <row r="477" spans="1:15" ht="22.5" customHeight="1" x14ac:dyDescent="0.25">
      <c r="A477" s="8">
        <f t="shared" si="7"/>
        <v>476</v>
      </c>
      <c r="B477" s="24" t="s">
        <v>603</v>
      </c>
      <c r="C477" s="32">
        <v>41236</v>
      </c>
      <c r="D477" s="25">
        <v>52</v>
      </c>
      <c r="E477" s="25" t="s">
        <v>607</v>
      </c>
      <c r="F477" s="25" t="s">
        <v>608</v>
      </c>
      <c r="G477" s="25" t="s">
        <v>612</v>
      </c>
      <c r="H477" s="44" t="s">
        <v>622</v>
      </c>
      <c r="I477" s="5" t="s">
        <v>205</v>
      </c>
      <c r="J477" s="36" t="s">
        <v>206</v>
      </c>
      <c r="K477"/>
      <c r="L477"/>
      <c r="M477"/>
      <c r="N477"/>
      <c r="O477"/>
    </row>
    <row r="478" spans="1:15" ht="22.5" customHeight="1" x14ac:dyDescent="0.25">
      <c r="A478" s="8">
        <f t="shared" si="7"/>
        <v>477</v>
      </c>
      <c r="B478" s="24" t="s">
        <v>425</v>
      </c>
      <c r="C478" s="27">
        <v>40849</v>
      </c>
      <c r="D478" s="4">
        <v>45</v>
      </c>
      <c r="E478" s="4" t="s">
        <v>25</v>
      </c>
      <c r="F478" s="4" t="s">
        <v>42</v>
      </c>
      <c r="G478" s="4" t="s">
        <v>21</v>
      </c>
      <c r="H478" s="44" t="s">
        <v>622</v>
      </c>
      <c r="I478" s="5" t="s">
        <v>205</v>
      </c>
      <c r="J478" s="36" t="s">
        <v>206</v>
      </c>
      <c r="K478"/>
      <c r="L478"/>
      <c r="M478"/>
      <c r="N478"/>
      <c r="O478"/>
    </row>
    <row r="479" spans="1:15" ht="22.5" customHeight="1" x14ac:dyDescent="0.25">
      <c r="A479" s="8">
        <f t="shared" si="7"/>
        <v>478</v>
      </c>
      <c r="B479" s="24" t="s">
        <v>221</v>
      </c>
      <c r="C479" s="27">
        <v>40752</v>
      </c>
      <c r="D479" s="4">
        <v>45</v>
      </c>
      <c r="E479" s="4" t="s">
        <v>25</v>
      </c>
      <c r="F479" s="4" t="s">
        <v>37</v>
      </c>
      <c r="G479" s="4" t="s">
        <v>21</v>
      </c>
      <c r="H479" s="44" t="s">
        <v>620</v>
      </c>
      <c r="I479" s="5" t="s">
        <v>205</v>
      </c>
      <c r="J479" s="36" t="s">
        <v>206</v>
      </c>
      <c r="K479"/>
      <c r="L479"/>
      <c r="M479"/>
      <c r="N479"/>
      <c r="O479"/>
    </row>
    <row r="480" spans="1:15" ht="22.5" customHeight="1" x14ac:dyDescent="0.25">
      <c r="A480" s="8">
        <f t="shared" si="7"/>
        <v>479</v>
      </c>
      <c r="B480" s="24" t="s">
        <v>415</v>
      </c>
      <c r="C480" s="33">
        <v>40801</v>
      </c>
      <c r="D480" s="12">
        <v>39</v>
      </c>
      <c r="E480" s="12" t="s">
        <v>19</v>
      </c>
      <c r="F480" s="12" t="s">
        <v>61</v>
      </c>
      <c r="G480" s="12" t="s">
        <v>21</v>
      </c>
      <c r="H480" s="44" t="s">
        <v>620</v>
      </c>
      <c r="I480" s="13" t="s">
        <v>205</v>
      </c>
      <c r="J480" s="41" t="s">
        <v>206</v>
      </c>
      <c r="K480"/>
      <c r="L480"/>
      <c r="M480"/>
      <c r="N480"/>
      <c r="O480"/>
    </row>
    <row r="481" spans="1:30" ht="22.5" customHeight="1" x14ac:dyDescent="0.25">
      <c r="A481" s="8">
        <f t="shared" si="7"/>
        <v>480</v>
      </c>
      <c r="B481" s="24" t="s">
        <v>268</v>
      </c>
      <c r="C481" s="27">
        <v>40496</v>
      </c>
      <c r="D481" s="4">
        <v>35</v>
      </c>
      <c r="E481" s="4" t="s">
        <v>19</v>
      </c>
      <c r="F481" s="4" t="s">
        <v>61</v>
      </c>
      <c r="G481" s="4" t="s">
        <v>21</v>
      </c>
      <c r="H481" s="44" t="s">
        <v>621</v>
      </c>
      <c r="I481" s="5" t="s">
        <v>205</v>
      </c>
      <c r="J481" s="36" t="s">
        <v>206</v>
      </c>
      <c r="K481" s="2"/>
      <c r="L481" s="2"/>
      <c r="M481" s="2"/>
      <c r="N481" s="2"/>
      <c r="O481" s="2"/>
      <c r="P481" s="2"/>
      <c r="Q481" s="2"/>
      <c r="R481" s="2"/>
      <c r="S481" s="2"/>
      <c r="T481" s="2"/>
      <c r="U481" s="2"/>
      <c r="V481" s="2"/>
      <c r="W481" s="2"/>
      <c r="X481" s="2"/>
      <c r="Y481" s="2"/>
      <c r="Z481" s="2"/>
      <c r="AA481" s="2"/>
      <c r="AB481" s="2"/>
      <c r="AC481" s="2"/>
      <c r="AD481" s="2"/>
    </row>
    <row r="482" spans="1:30" ht="22.5" customHeight="1" x14ac:dyDescent="0.25">
      <c r="A482" s="8">
        <f t="shared" si="7"/>
        <v>481</v>
      </c>
      <c r="B482" s="24" t="s">
        <v>423</v>
      </c>
      <c r="C482" s="27">
        <v>40432</v>
      </c>
      <c r="D482" s="4">
        <v>38</v>
      </c>
      <c r="E482" s="4" t="s">
        <v>19</v>
      </c>
      <c r="F482" s="4" t="s">
        <v>61</v>
      </c>
      <c r="G482" s="4" t="s">
        <v>21</v>
      </c>
      <c r="H482" s="44" t="s">
        <v>621</v>
      </c>
      <c r="I482" s="5" t="s">
        <v>205</v>
      </c>
      <c r="J482" s="36" t="s">
        <v>206</v>
      </c>
      <c r="K482" s="2"/>
      <c r="L482" s="2"/>
      <c r="M482" s="2"/>
      <c r="N482" s="2"/>
      <c r="O482" s="2"/>
      <c r="P482" s="2"/>
      <c r="Q482" s="2"/>
      <c r="R482" s="2"/>
      <c r="S482" s="2"/>
      <c r="T482" s="2"/>
      <c r="U482" s="2"/>
      <c r="V482" s="2"/>
      <c r="W482" s="2"/>
      <c r="X482" s="2"/>
      <c r="Y482" s="2"/>
      <c r="Z482" s="2"/>
      <c r="AA482" s="2"/>
      <c r="AB482" s="2"/>
      <c r="AC482" s="2"/>
      <c r="AD482" s="2"/>
    </row>
    <row r="483" spans="1:30" ht="22.5" customHeight="1" x14ac:dyDescent="0.25">
      <c r="A483" s="8">
        <f t="shared" si="7"/>
        <v>482</v>
      </c>
      <c r="B483" s="24" t="s">
        <v>271</v>
      </c>
      <c r="C483" s="27">
        <v>40431</v>
      </c>
      <c r="D483" s="4">
        <v>45</v>
      </c>
      <c r="E483" s="4" t="s">
        <v>19</v>
      </c>
      <c r="F483" s="4" t="s">
        <v>37</v>
      </c>
      <c r="G483" s="4" t="s">
        <v>21</v>
      </c>
      <c r="H483" s="44" t="s">
        <v>620</v>
      </c>
      <c r="I483" s="5" t="s">
        <v>205</v>
      </c>
      <c r="J483" s="36" t="s">
        <v>206</v>
      </c>
      <c r="K483" s="2"/>
      <c r="L483" s="2"/>
      <c r="M483" s="2"/>
      <c r="N483" s="2"/>
      <c r="O483" s="2"/>
      <c r="P483" s="2"/>
      <c r="Q483" s="2"/>
      <c r="R483" s="2"/>
      <c r="S483" s="2"/>
      <c r="T483" s="2"/>
      <c r="U483" s="2"/>
      <c r="V483" s="2"/>
      <c r="W483" s="2"/>
      <c r="X483" s="2"/>
      <c r="Y483" s="2"/>
      <c r="Z483" s="2"/>
      <c r="AA483" s="2"/>
      <c r="AB483" s="2"/>
      <c r="AC483" s="2"/>
      <c r="AD483" s="2"/>
    </row>
    <row r="484" spans="1:30" ht="22.5" customHeight="1" x14ac:dyDescent="0.25">
      <c r="A484" s="8">
        <f t="shared" si="7"/>
        <v>483</v>
      </c>
      <c r="B484" s="24" t="s">
        <v>270</v>
      </c>
      <c r="C484" s="27">
        <v>40031</v>
      </c>
      <c r="D484" s="4">
        <v>44</v>
      </c>
      <c r="E484" s="4" t="s">
        <v>25</v>
      </c>
      <c r="F484" s="4" t="s">
        <v>32</v>
      </c>
      <c r="G484" s="4" t="s">
        <v>21</v>
      </c>
      <c r="H484" s="44" t="s">
        <v>622</v>
      </c>
      <c r="I484" s="5" t="s">
        <v>205</v>
      </c>
      <c r="J484" s="36" t="s">
        <v>206</v>
      </c>
      <c r="K484" s="2"/>
      <c r="L484" s="2"/>
      <c r="M484" s="2"/>
      <c r="N484" s="2"/>
      <c r="O484" s="2"/>
      <c r="P484" s="2"/>
      <c r="Q484" s="2"/>
      <c r="R484" s="2"/>
      <c r="S484" s="2"/>
      <c r="T484" s="2"/>
      <c r="U484" s="2"/>
      <c r="V484" s="2"/>
      <c r="W484" s="2"/>
      <c r="X484" s="2"/>
      <c r="Y484" s="2"/>
      <c r="Z484" s="2"/>
      <c r="AA484" s="2"/>
      <c r="AB484" s="2"/>
      <c r="AC484" s="2"/>
      <c r="AD484" s="2"/>
    </row>
    <row r="485" spans="1:30" ht="22.5" customHeight="1" x14ac:dyDescent="0.25">
      <c r="A485" s="8">
        <f t="shared" si="7"/>
        <v>484</v>
      </c>
      <c r="B485" s="24" t="s">
        <v>371</v>
      </c>
      <c r="C485" s="27">
        <v>39518</v>
      </c>
      <c r="D485" s="4">
        <v>50</v>
      </c>
      <c r="E485" s="4" t="s">
        <v>25</v>
      </c>
      <c r="F485" s="4" t="s">
        <v>26</v>
      </c>
      <c r="G485" s="4" t="s">
        <v>21</v>
      </c>
      <c r="H485" s="44" t="s">
        <v>621</v>
      </c>
      <c r="I485" s="5" t="s">
        <v>205</v>
      </c>
      <c r="J485" s="36" t="s">
        <v>206</v>
      </c>
      <c r="K485" s="2"/>
      <c r="L485" s="2"/>
      <c r="M485" s="2"/>
      <c r="N485" s="2"/>
      <c r="O485" s="2"/>
      <c r="P485" s="2"/>
      <c r="Q485" s="2"/>
      <c r="R485" s="2"/>
      <c r="S485" s="2"/>
      <c r="T485" s="2"/>
      <c r="U485" s="2"/>
      <c r="V485" s="2"/>
      <c r="W485" s="2"/>
      <c r="X485" s="2"/>
      <c r="Y485" s="2"/>
      <c r="Z485" s="2"/>
      <c r="AA485" s="2"/>
      <c r="AB485" s="2"/>
      <c r="AC485" s="2"/>
      <c r="AD485" s="2"/>
    </row>
    <row r="486" spans="1:30" ht="22.5" customHeight="1" x14ac:dyDescent="0.25">
      <c r="A486" s="8">
        <f t="shared" si="7"/>
        <v>485</v>
      </c>
      <c r="B486" s="24" t="s">
        <v>217</v>
      </c>
      <c r="C486" s="27">
        <v>39872</v>
      </c>
      <c r="D486" s="4">
        <v>57</v>
      </c>
      <c r="E486" s="4" t="s">
        <v>25</v>
      </c>
      <c r="F486" s="4" t="s">
        <v>37</v>
      </c>
      <c r="G486" s="4" t="s">
        <v>21</v>
      </c>
      <c r="H486" s="44" t="s">
        <v>622</v>
      </c>
      <c r="I486" s="5" t="s">
        <v>205</v>
      </c>
      <c r="J486" s="36" t="s">
        <v>206</v>
      </c>
      <c r="K486" s="2"/>
      <c r="L486" s="2"/>
      <c r="M486" s="2"/>
      <c r="N486" s="2"/>
      <c r="O486" s="2"/>
      <c r="P486" s="2"/>
      <c r="Q486" s="2"/>
      <c r="R486" s="2"/>
      <c r="S486" s="2"/>
      <c r="T486" s="2"/>
      <c r="U486" s="2"/>
      <c r="V486" s="2"/>
      <c r="W486" s="2"/>
      <c r="X486" s="2"/>
      <c r="Y486" s="2"/>
      <c r="Z486" s="2"/>
      <c r="AA486" s="2"/>
      <c r="AB486" s="2"/>
      <c r="AC486" s="2"/>
      <c r="AD486" s="2"/>
    </row>
    <row r="487" spans="1:30" ht="22.5" customHeight="1" x14ac:dyDescent="0.25">
      <c r="A487" s="8">
        <f t="shared" si="7"/>
        <v>486</v>
      </c>
      <c r="B487" s="24" t="s">
        <v>368</v>
      </c>
      <c r="C487" s="27">
        <v>40132</v>
      </c>
      <c r="D487" s="4">
        <v>58</v>
      </c>
      <c r="E487" s="4" t="s">
        <v>25</v>
      </c>
      <c r="F487" s="4" t="s">
        <v>32</v>
      </c>
      <c r="G487" s="4" t="s">
        <v>21</v>
      </c>
      <c r="H487" s="44" t="s">
        <v>622</v>
      </c>
      <c r="I487" s="5" t="s">
        <v>205</v>
      </c>
      <c r="J487" s="36" t="s">
        <v>206</v>
      </c>
      <c r="K487" s="2"/>
      <c r="L487" s="2"/>
      <c r="M487" s="2"/>
      <c r="N487" s="2"/>
      <c r="O487" s="2"/>
      <c r="P487" s="2"/>
      <c r="Q487" s="2"/>
      <c r="R487" s="2"/>
      <c r="S487" s="2"/>
      <c r="T487" s="2"/>
      <c r="U487" s="2"/>
      <c r="V487" s="2"/>
      <c r="W487" s="2"/>
      <c r="X487" s="2"/>
      <c r="Y487" s="2"/>
      <c r="Z487" s="2"/>
      <c r="AA487" s="2"/>
      <c r="AB487" s="2"/>
      <c r="AC487" s="2"/>
      <c r="AD487" s="2"/>
    </row>
    <row r="488" spans="1:30" ht="22.5" customHeight="1" x14ac:dyDescent="0.25">
      <c r="A488" s="8">
        <f t="shared" si="7"/>
        <v>487</v>
      </c>
      <c r="B488" s="24" t="s">
        <v>317</v>
      </c>
      <c r="C488" s="27">
        <v>39547</v>
      </c>
      <c r="D488" s="4">
        <v>60</v>
      </c>
      <c r="E488" s="4" t="s">
        <v>25</v>
      </c>
      <c r="F488" s="4" t="s">
        <v>26</v>
      </c>
      <c r="G488" s="4" t="s">
        <v>21</v>
      </c>
      <c r="H488" s="44" t="s">
        <v>620</v>
      </c>
      <c r="I488" s="5" t="s">
        <v>205</v>
      </c>
      <c r="J488" s="36" t="s">
        <v>206</v>
      </c>
      <c r="K488" s="2"/>
      <c r="L488" s="2"/>
      <c r="M488" s="2"/>
      <c r="N488" s="2"/>
      <c r="O488" s="2"/>
      <c r="P488" s="2"/>
      <c r="Q488" s="2"/>
      <c r="R488" s="2"/>
      <c r="S488" s="2"/>
      <c r="T488" s="2"/>
      <c r="U488" s="2"/>
      <c r="V488" s="2"/>
      <c r="W488" s="2"/>
      <c r="X488" s="2"/>
      <c r="Y488" s="2"/>
      <c r="Z488" s="2"/>
      <c r="AA488" s="2"/>
      <c r="AB488" s="2"/>
      <c r="AC488" s="2"/>
      <c r="AD488" s="2"/>
    </row>
    <row r="489" spans="1:30" ht="22.5" customHeight="1" x14ac:dyDescent="0.25">
      <c r="A489" s="8">
        <f t="shared" si="7"/>
        <v>488</v>
      </c>
      <c r="B489" s="24" t="s">
        <v>605</v>
      </c>
      <c r="C489" s="32">
        <v>40019</v>
      </c>
      <c r="D489" s="25">
        <v>49</v>
      </c>
      <c r="E489" s="25" t="s">
        <v>607</v>
      </c>
      <c r="F489" s="25" t="s">
        <v>610</v>
      </c>
      <c r="G489" s="25" t="s">
        <v>612</v>
      </c>
      <c r="H489" s="44" t="s">
        <v>620</v>
      </c>
      <c r="I489" s="5" t="s">
        <v>205</v>
      </c>
      <c r="J489" s="36" t="s">
        <v>206</v>
      </c>
      <c r="K489" s="2"/>
      <c r="L489" s="2"/>
      <c r="M489" s="2"/>
      <c r="N489" s="2"/>
      <c r="O489" s="2"/>
      <c r="P489" s="2"/>
      <c r="Q489" s="2"/>
      <c r="R489" s="2"/>
      <c r="S489" s="2"/>
      <c r="T489" s="2"/>
      <c r="U489" s="2"/>
      <c r="V489" s="2"/>
      <c r="W489" s="2"/>
      <c r="X489" s="2"/>
      <c r="Y489" s="2"/>
      <c r="Z489" s="2"/>
      <c r="AA489" s="2"/>
      <c r="AB489" s="2"/>
      <c r="AC489" s="2"/>
      <c r="AD489" s="2"/>
    </row>
    <row r="490" spans="1:30" ht="22.5" customHeight="1" x14ac:dyDescent="0.25">
      <c r="A490" s="8">
        <f t="shared" si="7"/>
        <v>489</v>
      </c>
      <c r="B490" s="24" t="s">
        <v>530</v>
      </c>
      <c r="C490" s="27">
        <v>42306</v>
      </c>
      <c r="D490" s="4">
        <v>35</v>
      </c>
      <c r="E490" s="4" t="s">
        <v>25</v>
      </c>
      <c r="F490" s="4" t="s">
        <v>34</v>
      </c>
      <c r="G490" s="4" t="s">
        <v>45</v>
      </c>
      <c r="H490" s="44" t="s">
        <v>621</v>
      </c>
      <c r="I490" s="5" t="s">
        <v>205</v>
      </c>
      <c r="J490" s="36" t="s">
        <v>206</v>
      </c>
      <c r="K490" s="2"/>
      <c r="L490" s="2"/>
      <c r="M490" s="2"/>
      <c r="N490" s="2"/>
      <c r="O490" s="2"/>
      <c r="P490" s="2"/>
      <c r="Q490" s="2"/>
      <c r="R490" s="2"/>
      <c r="S490" s="2"/>
      <c r="T490" s="2"/>
      <c r="U490" s="2"/>
      <c r="V490" s="2"/>
      <c r="W490" s="2"/>
      <c r="X490" s="2"/>
      <c r="Y490" s="2"/>
      <c r="Z490" s="2"/>
      <c r="AA490" s="2"/>
      <c r="AB490" s="2"/>
      <c r="AC490" s="2"/>
      <c r="AD490" s="2"/>
    </row>
    <row r="491" spans="1:30" ht="22.5" customHeight="1" x14ac:dyDescent="0.25">
      <c r="A491" s="8">
        <f t="shared" si="7"/>
        <v>490</v>
      </c>
      <c r="B491" s="24" t="s">
        <v>280</v>
      </c>
      <c r="C491" s="27">
        <v>41608</v>
      </c>
      <c r="D491" s="4">
        <v>32</v>
      </c>
      <c r="E491" s="4" t="s">
        <v>19</v>
      </c>
      <c r="F491" s="4" t="s">
        <v>28</v>
      </c>
      <c r="G491" s="4" t="s">
        <v>45</v>
      </c>
      <c r="H491" s="44" t="s">
        <v>621</v>
      </c>
      <c r="I491" s="5" t="s">
        <v>205</v>
      </c>
      <c r="J491" s="36" t="s">
        <v>206</v>
      </c>
      <c r="K491" s="2"/>
      <c r="L491" s="2"/>
      <c r="M491" s="2"/>
      <c r="N491" s="2"/>
      <c r="O491" s="2"/>
      <c r="P491" s="2"/>
      <c r="Q491" s="2"/>
      <c r="R491" s="2"/>
      <c r="S491" s="2"/>
      <c r="T491" s="2"/>
      <c r="U491" s="2"/>
      <c r="V491" s="2"/>
      <c r="W491" s="2"/>
      <c r="X491" s="2"/>
      <c r="Y491" s="2"/>
      <c r="Z491" s="2"/>
      <c r="AA491" s="2"/>
      <c r="AB491" s="2"/>
      <c r="AC491" s="2"/>
      <c r="AD491" s="2"/>
    </row>
    <row r="492" spans="1:30" ht="22.5" customHeight="1" x14ac:dyDescent="0.25">
      <c r="A492" s="8">
        <f t="shared" si="7"/>
        <v>491</v>
      </c>
      <c r="B492" s="24" t="s">
        <v>557</v>
      </c>
      <c r="C492" s="27">
        <v>43488</v>
      </c>
      <c r="D492" s="4">
        <v>0</v>
      </c>
      <c r="E492" s="4" t="s">
        <v>25</v>
      </c>
      <c r="F492" s="4" t="s">
        <v>50</v>
      </c>
      <c r="G492" s="4" t="s">
        <v>51</v>
      </c>
      <c r="H492" s="44" t="s">
        <v>620</v>
      </c>
      <c r="I492" s="5" t="s">
        <v>493</v>
      </c>
      <c r="J492" s="36" t="s">
        <v>494</v>
      </c>
      <c r="K492" s="2"/>
      <c r="L492" s="2"/>
      <c r="M492" s="2"/>
      <c r="N492" s="2"/>
      <c r="O492" s="2"/>
      <c r="P492" s="2"/>
      <c r="Q492" s="2"/>
      <c r="R492" s="2"/>
      <c r="S492" s="2"/>
      <c r="T492" s="2"/>
      <c r="U492" s="2"/>
      <c r="V492" s="2"/>
      <c r="W492" s="2"/>
      <c r="X492" s="2"/>
      <c r="Y492" s="2"/>
      <c r="Z492" s="2"/>
      <c r="AA492" s="2"/>
      <c r="AB492" s="2"/>
      <c r="AC492" s="2"/>
      <c r="AD492" s="2"/>
    </row>
    <row r="493" spans="1:30" ht="22.5" customHeight="1" x14ac:dyDescent="0.25">
      <c r="A493" s="8">
        <f t="shared" si="7"/>
        <v>492</v>
      </c>
      <c r="B493" s="24" t="s">
        <v>555</v>
      </c>
      <c r="C493" s="27">
        <v>43217</v>
      </c>
      <c r="D493" s="4">
        <v>13</v>
      </c>
      <c r="E493" s="4" t="s">
        <v>25</v>
      </c>
      <c r="F493" s="4" t="s">
        <v>28</v>
      </c>
      <c r="G493" s="4" t="s">
        <v>21</v>
      </c>
      <c r="H493" s="44" t="s">
        <v>622</v>
      </c>
      <c r="I493" s="5" t="s">
        <v>493</v>
      </c>
      <c r="J493" s="36" t="s">
        <v>494</v>
      </c>
      <c r="K493" s="2"/>
      <c r="L493" s="2"/>
      <c r="M493" s="2"/>
      <c r="N493" s="2"/>
      <c r="O493" s="2"/>
      <c r="P493" s="2"/>
      <c r="Q493" s="2"/>
      <c r="R493" s="2"/>
      <c r="S493" s="2"/>
      <c r="T493" s="2"/>
      <c r="U493" s="2"/>
      <c r="V493" s="2"/>
      <c r="W493" s="2"/>
      <c r="X493" s="2"/>
      <c r="Y493" s="2"/>
      <c r="Z493" s="2"/>
      <c r="AA493" s="2"/>
      <c r="AB493" s="2"/>
      <c r="AC493" s="2"/>
      <c r="AD493" s="2"/>
    </row>
    <row r="494" spans="1:30" ht="22.5" customHeight="1" x14ac:dyDescent="0.25">
      <c r="A494" s="8">
        <f t="shared" si="7"/>
        <v>493</v>
      </c>
      <c r="B494" s="24" t="s">
        <v>506</v>
      </c>
      <c r="C494" s="27">
        <v>43252</v>
      </c>
      <c r="D494" s="4">
        <v>19</v>
      </c>
      <c r="E494" s="4" t="s">
        <v>19</v>
      </c>
      <c r="F494" s="4" t="s">
        <v>28</v>
      </c>
      <c r="G494" s="4" t="s">
        <v>21</v>
      </c>
      <c r="H494" s="44" t="s">
        <v>621</v>
      </c>
      <c r="I494" s="5" t="s">
        <v>493</v>
      </c>
      <c r="J494" s="36" t="s">
        <v>494</v>
      </c>
      <c r="K494" s="2"/>
      <c r="L494" s="2"/>
      <c r="M494" s="2"/>
      <c r="N494" s="2"/>
      <c r="O494" s="2"/>
      <c r="P494" s="2"/>
      <c r="Q494" s="2"/>
      <c r="R494" s="2"/>
      <c r="S494" s="2"/>
      <c r="T494" s="2"/>
      <c r="U494" s="2"/>
      <c r="V494" s="2"/>
      <c r="W494" s="2"/>
      <c r="X494" s="2"/>
      <c r="Y494" s="2"/>
      <c r="Z494" s="2"/>
      <c r="AA494" s="2"/>
      <c r="AB494" s="2"/>
      <c r="AC494" s="2"/>
      <c r="AD494" s="2"/>
    </row>
    <row r="495" spans="1:30" ht="22.5" customHeight="1" x14ac:dyDescent="0.25">
      <c r="A495" s="8">
        <f t="shared" si="7"/>
        <v>494</v>
      </c>
      <c r="B495" s="24" t="s">
        <v>496</v>
      </c>
      <c r="C495" s="27">
        <v>42736</v>
      </c>
      <c r="D495" s="4">
        <v>29</v>
      </c>
      <c r="E495" s="4" t="s">
        <v>19</v>
      </c>
      <c r="F495" s="4" t="s">
        <v>39</v>
      </c>
      <c r="G495" s="4" t="s">
        <v>21</v>
      </c>
      <c r="H495" s="44" t="s">
        <v>622</v>
      </c>
      <c r="I495" s="5" t="s">
        <v>493</v>
      </c>
      <c r="J495" s="36" t="s">
        <v>494</v>
      </c>
      <c r="K495" s="2"/>
      <c r="L495" s="2"/>
      <c r="M495" s="2"/>
      <c r="N495" s="2"/>
      <c r="O495" s="2"/>
      <c r="P495" s="2"/>
      <c r="Q495" s="2"/>
      <c r="R495" s="2"/>
      <c r="S495" s="2"/>
      <c r="T495" s="2"/>
      <c r="U495" s="2"/>
      <c r="V495" s="2"/>
      <c r="W495" s="2"/>
      <c r="X495" s="2"/>
      <c r="Y495" s="2"/>
      <c r="Z495" s="2"/>
      <c r="AA495" s="2"/>
      <c r="AB495" s="2"/>
      <c r="AC495" s="2"/>
      <c r="AD495" s="2"/>
    </row>
    <row r="496" spans="1:30" ht="22.5" customHeight="1" x14ac:dyDescent="0.25">
      <c r="A496" s="8">
        <f t="shared" si="7"/>
        <v>495</v>
      </c>
      <c r="B496" s="24" t="s">
        <v>510</v>
      </c>
      <c r="C496" s="27">
        <v>42676</v>
      </c>
      <c r="D496" s="4">
        <v>30</v>
      </c>
      <c r="E496" s="4" t="s">
        <v>25</v>
      </c>
      <c r="F496" s="4" t="s">
        <v>42</v>
      </c>
      <c r="G496" s="4" t="s">
        <v>21</v>
      </c>
      <c r="H496" s="44" t="s">
        <v>622</v>
      </c>
      <c r="I496" s="5" t="s">
        <v>493</v>
      </c>
      <c r="J496" s="36" t="s">
        <v>494</v>
      </c>
      <c r="K496" s="2"/>
      <c r="L496" s="2"/>
      <c r="M496" s="2"/>
      <c r="N496" s="2"/>
      <c r="O496" s="2"/>
      <c r="P496" s="2"/>
      <c r="Q496" s="2"/>
      <c r="R496" s="2"/>
      <c r="S496" s="2"/>
      <c r="T496" s="2"/>
      <c r="U496" s="2"/>
      <c r="V496" s="2"/>
      <c r="W496" s="2"/>
      <c r="X496" s="2"/>
      <c r="Y496" s="2"/>
      <c r="Z496" s="2"/>
      <c r="AA496" s="2"/>
      <c r="AB496" s="2"/>
      <c r="AC496" s="2"/>
      <c r="AD496" s="2"/>
    </row>
    <row r="497" spans="1:32" ht="22.5" customHeight="1" x14ac:dyDescent="0.25">
      <c r="A497" s="8">
        <f t="shared" si="7"/>
        <v>496</v>
      </c>
      <c r="B497" s="24" t="s">
        <v>509</v>
      </c>
      <c r="C497" s="27">
        <v>42392</v>
      </c>
      <c r="D497" s="4">
        <v>39</v>
      </c>
      <c r="E497" s="4" t="s">
        <v>25</v>
      </c>
      <c r="F497" s="4" t="s">
        <v>39</v>
      </c>
      <c r="G497" s="4" t="s">
        <v>21</v>
      </c>
      <c r="H497" s="44" t="s">
        <v>620</v>
      </c>
      <c r="I497" s="5" t="s">
        <v>493</v>
      </c>
      <c r="J497" s="36" t="s">
        <v>494</v>
      </c>
      <c r="K497" s="2"/>
      <c r="L497" s="2"/>
      <c r="M497" s="2"/>
      <c r="N497" s="2"/>
      <c r="O497" s="2"/>
      <c r="P497" s="2"/>
      <c r="Q497" s="2"/>
      <c r="R497" s="2"/>
      <c r="S497" s="2"/>
      <c r="T497" s="2"/>
      <c r="U497" s="2"/>
      <c r="V497" s="2"/>
      <c r="W497" s="2"/>
      <c r="X497" s="2"/>
      <c r="Y497" s="2"/>
      <c r="Z497" s="2"/>
      <c r="AA497" s="2"/>
      <c r="AB497" s="2"/>
      <c r="AC497" s="2"/>
      <c r="AD497" s="2"/>
    </row>
    <row r="498" spans="1:32" ht="22.5" customHeight="1" x14ac:dyDescent="0.25">
      <c r="A498" s="8">
        <f t="shared" si="7"/>
        <v>497</v>
      </c>
      <c r="B498" s="24" t="s">
        <v>492</v>
      </c>
      <c r="C498" s="27">
        <v>42599</v>
      </c>
      <c r="D498" s="4">
        <v>18</v>
      </c>
      <c r="E498" s="4" t="s">
        <v>19</v>
      </c>
      <c r="F498" s="4" t="s">
        <v>50</v>
      </c>
      <c r="G498" s="4" t="s">
        <v>21</v>
      </c>
      <c r="H498" s="44" t="s">
        <v>620</v>
      </c>
      <c r="I498" s="5" t="s">
        <v>493</v>
      </c>
      <c r="J498" s="36" t="s">
        <v>494</v>
      </c>
      <c r="K498" s="2"/>
      <c r="L498" s="2"/>
      <c r="M498" s="2"/>
      <c r="N498" s="2"/>
      <c r="O498" s="2"/>
      <c r="P498" s="2"/>
      <c r="Q498" s="2"/>
      <c r="R498" s="2"/>
      <c r="S498" s="2"/>
      <c r="T498" s="2"/>
      <c r="U498" s="2"/>
      <c r="V498" s="2"/>
      <c r="W498" s="2"/>
      <c r="X498" s="2"/>
      <c r="Y498" s="2"/>
      <c r="Z498" s="2"/>
      <c r="AA498" s="2"/>
      <c r="AB498" s="2"/>
      <c r="AC498" s="2"/>
      <c r="AD498" s="2"/>
    </row>
    <row r="499" spans="1:32" ht="22.5" customHeight="1" x14ac:dyDescent="0.25">
      <c r="A499" s="8">
        <f t="shared" si="7"/>
        <v>498</v>
      </c>
      <c r="B499" s="24" t="s">
        <v>495</v>
      </c>
      <c r="C499" s="33">
        <v>42486</v>
      </c>
      <c r="D499" s="12">
        <v>23</v>
      </c>
      <c r="E499" s="12" t="s">
        <v>19</v>
      </c>
      <c r="F499" s="12" t="s">
        <v>28</v>
      </c>
      <c r="G499" s="12" t="s">
        <v>21</v>
      </c>
      <c r="H499" s="44" t="s">
        <v>621</v>
      </c>
      <c r="I499" s="13" t="s">
        <v>493</v>
      </c>
      <c r="J499" s="41" t="s">
        <v>494</v>
      </c>
      <c r="K499" s="2"/>
      <c r="L499" s="2"/>
      <c r="M499" s="2"/>
      <c r="N499" s="2"/>
      <c r="O499" s="2"/>
      <c r="P499" s="2"/>
      <c r="Q499" s="2"/>
      <c r="R499" s="2"/>
      <c r="S499" s="2"/>
      <c r="T499" s="2"/>
      <c r="U499" s="2"/>
      <c r="V499" s="2"/>
      <c r="W499" s="2"/>
      <c r="X499" s="2"/>
      <c r="Y499" s="2"/>
      <c r="Z499" s="2"/>
      <c r="AA499" s="2"/>
      <c r="AB499" s="2"/>
      <c r="AC499" s="2"/>
      <c r="AD499" s="2"/>
    </row>
    <row r="500" spans="1:32" ht="22.5" customHeight="1" x14ac:dyDescent="0.25">
      <c r="A500" s="8">
        <f t="shared" si="7"/>
        <v>499</v>
      </c>
      <c r="B500" s="24" t="s">
        <v>499</v>
      </c>
      <c r="C500" s="33">
        <v>42719</v>
      </c>
      <c r="D500" s="12">
        <v>38</v>
      </c>
      <c r="E500" s="12" t="s">
        <v>19</v>
      </c>
      <c r="F500" s="12" t="s">
        <v>42</v>
      </c>
      <c r="G500" s="12" t="s">
        <v>21</v>
      </c>
      <c r="H500" s="44" t="s">
        <v>621</v>
      </c>
      <c r="I500" s="13" t="s">
        <v>493</v>
      </c>
      <c r="J500" s="41" t="s">
        <v>494</v>
      </c>
      <c r="K500" s="2"/>
      <c r="L500" s="2"/>
      <c r="M500" s="2"/>
      <c r="N500" s="2"/>
      <c r="O500" s="2"/>
      <c r="P500" s="2"/>
      <c r="Q500" s="2"/>
      <c r="R500" s="2"/>
      <c r="S500" s="2"/>
      <c r="T500" s="2"/>
      <c r="U500" s="2"/>
      <c r="V500" s="2"/>
      <c r="W500" s="2"/>
      <c r="X500" s="2"/>
      <c r="Y500" s="2"/>
      <c r="Z500" s="2"/>
      <c r="AA500" s="2"/>
      <c r="AB500" s="2"/>
      <c r="AC500" s="2"/>
      <c r="AD500" s="2"/>
    </row>
    <row r="501" spans="1:32" ht="22.5" customHeight="1" x14ac:dyDescent="0.25">
      <c r="A501" s="8">
        <f t="shared" si="7"/>
        <v>500</v>
      </c>
      <c r="B501" s="24" t="s">
        <v>556</v>
      </c>
      <c r="C501" s="33">
        <v>42299</v>
      </c>
      <c r="D501" s="12">
        <v>0</v>
      </c>
      <c r="E501" s="12" t="s">
        <v>19</v>
      </c>
      <c r="F501" s="12" t="s">
        <v>50</v>
      </c>
      <c r="G501" s="12" t="s">
        <v>51</v>
      </c>
      <c r="H501" s="44" t="s">
        <v>620</v>
      </c>
      <c r="I501" s="13" t="s">
        <v>493</v>
      </c>
      <c r="J501" s="41" t="s">
        <v>494</v>
      </c>
      <c r="K501" s="2"/>
      <c r="L501" s="2"/>
      <c r="M501" s="2"/>
      <c r="N501" s="2"/>
      <c r="O501" s="2"/>
      <c r="P501" s="2"/>
      <c r="Q501" s="2"/>
      <c r="R501" s="2"/>
      <c r="S501" s="2"/>
      <c r="T501" s="2"/>
      <c r="U501" s="2"/>
      <c r="V501" s="2"/>
      <c r="W501" s="2"/>
      <c r="X501" s="2"/>
      <c r="Y501" s="2"/>
      <c r="Z501" s="2"/>
      <c r="AA501" s="2"/>
      <c r="AB501" s="2"/>
      <c r="AC501" s="2"/>
      <c r="AD501" s="2"/>
    </row>
    <row r="502" spans="1:32" ht="22.5" customHeight="1" x14ac:dyDescent="0.25">
      <c r="A502" s="8">
        <f t="shared" si="7"/>
        <v>501</v>
      </c>
      <c r="B502" s="24" t="s">
        <v>497</v>
      </c>
      <c r="C502" s="33">
        <v>41667</v>
      </c>
      <c r="D502" s="12">
        <v>38</v>
      </c>
      <c r="E502" s="12" t="s">
        <v>19</v>
      </c>
      <c r="F502" s="12" t="s">
        <v>50</v>
      </c>
      <c r="G502" s="12" t="s">
        <v>21</v>
      </c>
      <c r="H502" s="44" t="s">
        <v>622</v>
      </c>
      <c r="I502" s="13" t="s">
        <v>493</v>
      </c>
      <c r="J502" s="41" t="s">
        <v>494</v>
      </c>
      <c r="K502" s="2"/>
      <c r="L502" s="2"/>
      <c r="M502" s="2"/>
      <c r="N502" s="2"/>
      <c r="O502" s="2"/>
      <c r="P502" s="2"/>
      <c r="Q502" s="2"/>
      <c r="R502" s="2"/>
      <c r="S502" s="2"/>
      <c r="T502" s="2"/>
      <c r="U502" s="2"/>
      <c r="V502" s="2"/>
      <c r="W502" s="2"/>
      <c r="X502" s="2"/>
      <c r="Y502" s="2"/>
      <c r="Z502" s="2"/>
      <c r="AA502" s="2"/>
      <c r="AB502" s="2"/>
      <c r="AC502" s="2"/>
      <c r="AD502" s="2"/>
    </row>
    <row r="503" spans="1:32" ht="22.5" customHeight="1" x14ac:dyDescent="0.25">
      <c r="A503" s="8">
        <f t="shared" si="7"/>
        <v>502</v>
      </c>
      <c r="B503" s="24" t="s">
        <v>498</v>
      </c>
      <c r="C503" s="33">
        <v>41728</v>
      </c>
      <c r="D503" s="12">
        <v>44</v>
      </c>
      <c r="E503" s="12" t="s">
        <v>19</v>
      </c>
      <c r="F503" s="12" t="s">
        <v>42</v>
      </c>
      <c r="G503" s="12" t="s">
        <v>21</v>
      </c>
      <c r="H503" s="44" t="s">
        <v>621</v>
      </c>
      <c r="I503" s="13" t="s">
        <v>493</v>
      </c>
      <c r="J503" s="41" t="s">
        <v>494</v>
      </c>
      <c r="K503" s="2"/>
      <c r="L503" s="2"/>
      <c r="M503" s="2"/>
      <c r="N503" s="2"/>
      <c r="O503" s="2"/>
      <c r="P503" s="2"/>
      <c r="Q503" s="2"/>
      <c r="R503" s="2"/>
      <c r="S503" s="2"/>
      <c r="T503" s="2"/>
      <c r="U503" s="2"/>
      <c r="V503" s="2"/>
      <c r="W503" s="2"/>
      <c r="X503" s="2"/>
      <c r="Y503" s="2"/>
      <c r="Z503" s="2"/>
      <c r="AA503" s="2"/>
      <c r="AB503" s="2"/>
      <c r="AC503" s="2"/>
      <c r="AD503" s="2"/>
    </row>
    <row r="504" spans="1:32" ht="22.5" customHeight="1" x14ac:dyDescent="0.25">
      <c r="A504" s="8">
        <f t="shared" si="7"/>
        <v>503</v>
      </c>
      <c r="B504" s="24" t="s">
        <v>508</v>
      </c>
      <c r="C504" s="33">
        <v>41792</v>
      </c>
      <c r="D504" s="12">
        <v>51</v>
      </c>
      <c r="E504" s="12" t="s">
        <v>19</v>
      </c>
      <c r="F504" s="12" t="s">
        <v>20</v>
      </c>
      <c r="G504" s="12" t="s">
        <v>21</v>
      </c>
      <c r="H504" s="44" t="s">
        <v>622</v>
      </c>
      <c r="I504" s="13" t="s">
        <v>493</v>
      </c>
      <c r="J504" s="41" t="s">
        <v>494</v>
      </c>
      <c r="K504" s="2"/>
      <c r="L504" s="2"/>
      <c r="M504" s="2"/>
      <c r="N504" s="2"/>
      <c r="O504" s="2"/>
      <c r="P504" s="2"/>
      <c r="Q504" s="2"/>
      <c r="R504" s="2"/>
      <c r="S504" s="2"/>
      <c r="T504" s="2"/>
      <c r="U504" s="2"/>
      <c r="V504" s="2"/>
      <c r="W504" s="2"/>
      <c r="X504" s="2"/>
      <c r="Y504" s="2"/>
      <c r="Z504" s="2"/>
      <c r="AA504" s="2"/>
      <c r="AB504" s="2"/>
      <c r="AC504" s="2"/>
      <c r="AD504" s="2"/>
    </row>
    <row r="505" spans="1:32" ht="22.5" customHeight="1" x14ac:dyDescent="0.25">
      <c r="A505" s="8">
        <f t="shared" si="7"/>
        <v>504</v>
      </c>
      <c r="B505" s="24" t="s">
        <v>501</v>
      </c>
      <c r="C505" s="33">
        <v>41457</v>
      </c>
      <c r="D505" s="12">
        <v>24</v>
      </c>
      <c r="E505" s="12" t="s">
        <v>25</v>
      </c>
      <c r="F505" s="12" t="s">
        <v>34</v>
      </c>
      <c r="G505" s="12" t="s">
        <v>21</v>
      </c>
      <c r="H505" s="44" t="s">
        <v>622</v>
      </c>
      <c r="I505" s="13" t="s">
        <v>493</v>
      </c>
      <c r="J505" s="41" t="s">
        <v>494</v>
      </c>
      <c r="K505" s="2"/>
      <c r="L505" s="2"/>
      <c r="M505" s="2"/>
      <c r="N505" s="2"/>
      <c r="O505" s="2"/>
      <c r="P505" s="2"/>
      <c r="Q505" s="2"/>
      <c r="R505" s="2"/>
      <c r="S505" s="2"/>
      <c r="T505" s="2"/>
      <c r="U505" s="2"/>
      <c r="V505" s="2"/>
      <c r="W505" s="2"/>
      <c r="X505" s="2"/>
      <c r="Y505" s="2"/>
      <c r="Z505" s="2"/>
      <c r="AA505" s="2"/>
      <c r="AB505" s="2"/>
      <c r="AC505" s="2"/>
      <c r="AD505" s="2"/>
    </row>
    <row r="506" spans="1:32" ht="18.649999999999999" customHeight="1" x14ac:dyDescent="0.25">
      <c r="A506" s="8">
        <f t="shared" si="7"/>
        <v>505</v>
      </c>
      <c r="B506" s="24" t="s">
        <v>505</v>
      </c>
      <c r="C506" s="33">
        <v>41608</v>
      </c>
      <c r="D506" s="12">
        <v>32</v>
      </c>
      <c r="E506" s="12" t="s">
        <v>19</v>
      </c>
      <c r="F506" s="12" t="s">
        <v>34</v>
      </c>
      <c r="G506" s="12" t="s">
        <v>21</v>
      </c>
      <c r="H506" s="44" t="s">
        <v>620</v>
      </c>
      <c r="I506" s="13" t="s">
        <v>493</v>
      </c>
      <c r="J506" s="41" t="s">
        <v>494</v>
      </c>
      <c r="K506" s="2"/>
      <c r="L506" s="2"/>
      <c r="M506" s="2"/>
      <c r="N506" s="2"/>
      <c r="O506" s="2"/>
      <c r="P506" s="2"/>
      <c r="Q506" s="2"/>
      <c r="R506" s="2"/>
      <c r="S506" s="2"/>
      <c r="T506" s="2"/>
      <c r="U506" s="2"/>
      <c r="V506" s="2"/>
      <c r="W506" s="2"/>
      <c r="X506" s="2"/>
      <c r="Y506" s="2"/>
      <c r="Z506" s="2"/>
      <c r="AA506" s="2"/>
      <c r="AB506" s="2"/>
      <c r="AC506" s="2"/>
      <c r="AD506" s="2"/>
    </row>
    <row r="507" spans="1:32" ht="21" customHeight="1" x14ac:dyDescent="0.25">
      <c r="A507" s="8">
        <f t="shared" si="7"/>
        <v>506</v>
      </c>
      <c r="B507" s="24" t="s">
        <v>504</v>
      </c>
      <c r="C507" s="33">
        <v>41089</v>
      </c>
      <c r="D507" s="12">
        <v>32</v>
      </c>
      <c r="E507" s="12" t="s">
        <v>25</v>
      </c>
      <c r="F507" s="12" t="s">
        <v>34</v>
      </c>
      <c r="G507" s="12" t="s">
        <v>21</v>
      </c>
      <c r="H507" s="44" t="s">
        <v>620</v>
      </c>
      <c r="I507" s="13" t="s">
        <v>493</v>
      </c>
      <c r="J507" s="41" t="s">
        <v>494</v>
      </c>
      <c r="K507" s="2"/>
      <c r="L507" s="2"/>
      <c r="M507" s="2"/>
      <c r="N507" s="2"/>
      <c r="O507" s="2"/>
      <c r="P507" s="2"/>
      <c r="Q507" s="2"/>
      <c r="R507" s="2"/>
      <c r="S507" s="2"/>
      <c r="T507" s="2"/>
      <c r="U507" s="2"/>
      <c r="V507" s="2"/>
      <c r="W507" s="2"/>
      <c r="X507" s="2"/>
      <c r="Y507" s="2"/>
      <c r="Z507" s="2"/>
      <c r="AA507" s="2"/>
      <c r="AB507" s="2"/>
      <c r="AC507" s="2"/>
      <c r="AD507" s="2"/>
    </row>
    <row r="508" spans="1:32" ht="22.5" customHeight="1" x14ac:dyDescent="0.25">
      <c r="A508" s="8">
        <f t="shared" si="7"/>
        <v>507</v>
      </c>
      <c r="B508" s="24" t="s">
        <v>507</v>
      </c>
      <c r="C508" s="33">
        <v>41259</v>
      </c>
      <c r="D508" s="12">
        <v>45</v>
      </c>
      <c r="E508" s="12" t="s">
        <v>19</v>
      </c>
      <c r="F508" s="12" t="s">
        <v>20</v>
      </c>
      <c r="G508" s="12" t="s">
        <v>21</v>
      </c>
      <c r="H508" s="44" t="s">
        <v>621</v>
      </c>
      <c r="I508" s="13" t="s">
        <v>493</v>
      </c>
      <c r="J508" s="41" t="s">
        <v>494</v>
      </c>
      <c r="K508" s="6"/>
      <c r="L508" s="6"/>
      <c r="M508" s="2"/>
      <c r="N508" s="2"/>
      <c r="O508" s="2"/>
      <c r="P508" s="2"/>
      <c r="Q508" s="2"/>
      <c r="R508" s="2"/>
      <c r="S508" s="2"/>
      <c r="T508" s="2"/>
      <c r="U508" s="2"/>
      <c r="V508" s="2"/>
      <c r="W508" s="2"/>
      <c r="X508" s="2"/>
      <c r="Y508" s="2"/>
      <c r="Z508" s="2"/>
      <c r="AA508" s="2"/>
      <c r="AB508" s="2"/>
      <c r="AC508" s="2"/>
      <c r="AD508" s="2"/>
      <c r="AE508" s="2"/>
      <c r="AF508" s="2"/>
    </row>
    <row r="509" spans="1:32" ht="22.5" customHeight="1" x14ac:dyDescent="0.25">
      <c r="A509" s="8">
        <f t="shared" si="7"/>
        <v>508</v>
      </c>
      <c r="B509" s="24" t="s">
        <v>554</v>
      </c>
      <c r="C509" s="33">
        <v>41031</v>
      </c>
      <c r="D509" s="12">
        <v>60</v>
      </c>
      <c r="E509" s="12" t="s">
        <v>19</v>
      </c>
      <c r="F509" s="12" t="s">
        <v>28</v>
      </c>
      <c r="G509" s="12" t="s">
        <v>21</v>
      </c>
      <c r="H509" s="44" t="s">
        <v>621</v>
      </c>
      <c r="I509" s="13" t="s">
        <v>493</v>
      </c>
      <c r="J509" s="41" t="s">
        <v>494</v>
      </c>
      <c r="K509" s="6"/>
      <c r="L509" s="6"/>
      <c r="M509" s="2"/>
      <c r="N509" s="2"/>
      <c r="O509" s="2"/>
      <c r="P509" s="2"/>
      <c r="Q509" s="2"/>
      <c r="R509" s="2"/>
      <c r="S509" s="2"/>
      <c r="T509" s="2"/>
      <c r="U509" s="2"/>
      <c r="V509" s="2"/>
      <c r="W509" s="2"/>
      <c r="X509" s="2"/>
      <c r="Y509" s="2"/>
      <c r="Z509" s="2"/>
      <c r="AA509" s="2"/>
      <c r="AB509" s="2"/>
      <c r="AC509" s="2"/>
      <c r="AD509" s="2"/>
      <c r="AE509" s="2"/>
      <c r="AF509" s="2"/>
    </row>
    <row r="510" spans="1:32" ht="22.5" customHeight="1" x14ac:dyDescent="0.25">
      <c r="A510" s="8">
        <f t="shared" si="7"/>
        <v>509</v>
      </c>
      <c r="B510" s="24" t="s">
        <v>502</v>
      </c>
      <c r="C510" s="27">
        <v>40560</v>
      </c>
      <c r="D510" s="4">
        <v>45</v>
      </c>
      <c r="E510" s="4" t="s">
        <v>25</v>
      </c>
      <c r="F510" s="4" t="s">
        <v>34</v>
      </c>
      <c r="G510" s="4" t="s">
        <v>21</v>
      </c>
      <c r="H510" s="44" t="s">
        <v>620</v>
      </c>
      <c r="I510" s="5" t="s">
        <v>493</v>
      </c>
      <c r="J510" s="36" t="s">
        <v>494</v>
      </c>
      <c r="K510" s="6"/>
      <c r="L510" s="6"/>
      <c r="M510" s="2"/>
      <c r="N510" s="2"/>
      <c r="O510" s="2"/>
      <c r="P510" s="2"/>
      <c r="Q510" s="2"/>
      <c r="R510" s="2"/>
      <c r="S510" s="2"/>
      <c r="T510" s="2"/>
      <c r="U510" s="2"/>
      <c r="V510" s="2"/>
      <c r="W510" s="2"/>
      <c r="X510" s="2"/>
      <c r="Y510" s="2"/>
      <c r="Z510" s="2"/>
      <c r="AA510" s="2"/>
      <c r="AB510" s="2"/>
      <c r="AC510" s="2"/>
      <c r="AD510" s="2"/>
      <c r="AE510" s="2"/>
      <c r="AF510" s="2"/>
    </row>
    <row r="511" spans="1:32" ht="22.5" customHeight="1" x14ac:dyDescent="0.25">
      <c r="A511" s="8">
        <f t="shared" si="7"/>
        <v>510</v>
      </c>
      <c r="B511" s="24" t="s">
        <v>503</v>
      </c>
      <c r="C511" s="27">
        <v>40272</v>
      </c>
      <c r="D511" s="4">
        <v>51</v>
      </c>
      <c r="E511" s="4" t="s">
        <v>25</v>
      </c>
      <c r="F511" s="4" t="s">
        <v>34</v>
      </c>
      <c r="G511" s="4" t="s">
        <v>21</v>
      </c>
      <c r="H511" s="44" t="s">
        <v>622</v>
      </c>
      <c r="I511" s="5" t="s">
        <v>493</v>
      </c>
      <c r="J511" s="36" t="s">
        <v>494</v>
      </c>
      <c r="K511" s="6"/>
      <c r="L511" s="6"/>
      <c r="M511" s="2"/>
      <c r="N511" s="2"/>
      <c r="O511" s="2"/>
      <c r="P511" s="2"/>
      <c r="Q511" s="2"/>
      <c r="R511" s="2"/>
      <c r="S511" s="2"/>
      <c r="T511" s="2"/>
      <c r="U511" s="2"/>
      <c r="V511" s="2"/>
      <c r="W511" s="2"/>
      <c r="X511" s="2"/>
      <c r="Y511" s="2"/>
      <c r="Z511" s="2"/>
      <c r="AA511" s="2"/>
      <c r="AB511" s="2"/>
      <c r="AC511" s="2"/>
      <c r="AD511" s="2"/>
      <c r="AE511" s="2"/>
      <c r="AF511" s="2"/>
    </row>
    <row r="512" spans="1:32" ht="22.5" customHeight="1" x14ac:dyDescent="0.25">
      <c r="A512" s="8">
        <f t="shared" si="7"/>
        <v>511</v>
      </c>
      <c r="B512" s="24" t="s">
        <v>500</v>
      </c>
      <c r="C512" s="27">
        <v>40325</v>
      </c>
      <c r="D512" s="4">
        <v>60</v>
      </c>
      <c r="E512" s="4" t="s">
        <v>25</v>
      </c>
      <c r="F512" s="4" t="s">
        <v>20</v>
      </c>
      <c r="G512" s="4" t="s">
        <v>21</v>
      </c>
      <c r="H512" s="44" t="s">
        <v>621</v>
      </c>
      <c r="I512" s="5" t="s">
        <v>493</v>
      </c>
      <c r="J512" s="36" t="s">
        <v>494</v>
      </c>
      <c r="K512" s="6"/>
      <c r="L512" s="6"/>
      <c r="M512" s="2"/>
      <c r="N512" s="2"/>
      <c r="O512" s="2"/>
      <c r="P512" s="2"/>
      <c r="Q512" s="2"/>
      <c r="R512" s="2"/>
      <c r="S512" s="2"/>
      <c r="T512" s="2"/>
      <c r="U512" s="2"/>
      <c r="V512" s="2"/>
      <c r="W512" s="2"/>
      <c r="X512" s="2"/>
      <c r="Y512" s="2"/>
      <c r="Z512" s="2"/>
      <c r="AA512" s="2"/>
      <c r="AB512" s="2"/>
      <c r="AC512" s="2"/>
      <c r="AD512" s="2"/>
      <c r="AE512" s="2"/>
      <c r="AF512" s="2"/>
    </row>
    <row r="513" spans="1:35" ht="22.5" customHeight="1" x14ac:dyDescent="0.25">
      <c r="A513" s="8">
        <f t="shared" si="7"/>
        <v>512</v>
      </c>
      <c r="B513" s="24" t="s">
        <v>511</v>
      </c>
      <c r="C513" s="27">
        <v>38663</v>
      </c>
      <c r="D513" s="4">
        <v>63</v>
      </c>
      <c r="E513" s="4" t="s">
        <v>25</v>
      </c>
      <c r="F513" s="4" t="s">
        <v>26</v>
      </c>
      <c r="G513" s="4" t="s">
        <v>21</v>
      </c>
      <c r="H513" s="44" t="s">
        <v>622</v>
      </c>
      <c r="I513" s="5" t="s">
        <v>493</v>
      </c>
      <c r="J513" s="36" t="s">
        <v>494</v>
      </c>
      <c r="K513" s="6"/>
      <c r="L513" s="6"/>
      <c r="M513" s="2"/>
      <c r="N513" s="2"/>
      <c r="O513" s="2"/>
      <c r="P513" s="2"/>
      <c r="Q513" s="2"/>
      <c r="R513" s="2"/>
      <c r="S513" s="2"/>
      <c r="T513" s="2"/>
      <c r="U513" s="2"/>
      <c r="V513" s="2"/>
      <c r="W513" s="2"/>
      <c r="X513" s="2"/>
      <c r="Y513" s="2"/>
      <c r="Z513" s="2"/>
      <c r="AA513" s="2"/>
      <c r="AB513" s="2"/>
      <c r="AC513" s="2"/>
      <c r="AD513" s="2"/>
      <c r="AE513" s="2"/>
      <c r="AF513" s="2"/>
    </row>
    <row r="514" spans="1:35" ht="22.5" customHeight="1" x14ac:dyDescent="0.25">
      <c r="A514" s="8">
        <f t="shared" si="7"/>
        <v>513</v>
      </c>
      <c r="B514" s="24" t="s">
        <v>565</v>
      </c>
      <c r="C514" s="29">
        <v>42294</v>
      </c>
      <c r="D514" s="16">
        <v>35</v>
      </c>
      <c r="E514" s="16" t="s">
        <v>25</v>
      </c>
      <c r="F514" s="16" t="s">
        <v>39</v>
      </c>
      <c r="G514" s="16" t="s">
        <v>21</v>
      </c>
      <c r="H514" s="44" t="s">
        <v>622</v>
      </c>
      <c r="I514" s="17" t="s">
        <v>580</v>
      </c>
      <c r="J514" s="39" t="s">
        <v>581</v>
      </c>
      <c r="K514" s="6"/>
      <c r="L514" s="6"/>
      <c r="M514" s="2"/>
      <c r="N514" s="2"/>
      <c r="O514" s="2"/>
      <c r="P514" s="2"/>
      <c r="Q514" s="2"/>
      <c r="R514" s="2"/>
      <c r="S514" s="2"/>
      <c r="T514" s="2"/>
      <c r="U514" s="2"/>
      <c r="V514" s="2"/>
      <c r="W514" s="2"/>
      <c r="X514" s="2"/>
      <c r="Y514" s="2"/>
      <c r="Z514" s="2"/>
      <c r="AA514" s="2"/>
      <c r="AB514" s="2"/>
      <c r="AC514" s="2"/>
      <c r="AD514" s="2"/>
      <c r="AE514" s="2"/>
      <c r="AF514" s="2"/>
    </row>
    <row r="515" spans="1:35" ht="22.5" customHeight="1" x14ac:dyDescent="0.25">
      <c r="A515" s="8">
        <f t="shared" ref="A515:A521" si="8">A514+1</f>
        <v>514</v>
      </c>
      <c r="B515" s="24" t="s">
        <v>564</v>
      </c>
      <c r="C515" s="29">
        <v>41545</v>
      </c>
      <c r="D515" s="16">
        <v>36</v>
      </c>
      <c r="E515" s="16" t="s">
        <v>25</v>
      </c>
      <c r="F515" s="16" t="s">
        <v>39</v>
      </c>
      <c r="G515" s="16" t="s">
        <v>21</v>
      </c>
      <c r="H515" s="44" t="s">
        <v>620</v>
      </c>
      <c r="I515" s="17" t="s">
        <v>580</v>
      </c>
      <c r="J515" s="39" t="s">
        <v>581</v>
      </c>
      <c r="K515" s="6"/>
      <c r="L515" s="6"/>
      <c r="M515" s="2"/>
      <c r="N515" s="2"/>
      <c r="O515" s="2"/>
      <c r="P515" s="2"/>
      <c r="Q515" s="2"/>
      <c r="R515" s="2"/>
      <c r="S515" s="2"/>
      <c r="T515" s="2"/>
      <c r="U515" s="2"/>
      <c r="V515" s="2"/>
      <c r="W515" s="2"/>
      <c r="X515" s="2"/>
      <c r="Y515" s="2"/>
      <c r="Z515" s="2"/>
      <c r="AA515" s="2"/>
      <c r="AB515" s="2"/>
      <c r="AC515" s="2"/>
      <c r="AD515" s="2"/>
      <c r="AE515" s="2"/>
      <c r="AF515" s="2"/>
    </row>
    <row r="516" spans="1:35" ht="22.5" customHeight="1" x14ac:dyDescent="0.25">
      <c r="A516" s="8">
        <f t="shared" si="8"/>
        <v>515</v>
      </c>
      <c r="B516" s="24" t="s">
        <v>293</v>
      </c>
      <c r="C516" s="27">
        <v>44002</v>
      </c>
      <c r="D516" s="4">
        <v>18</v>
      </c>
      <c r="E516" s="4" t="s">
        <v>25</v>
      </c>
      <c r="F516" s="4" t="s">
        <v>50</v>
      </c>
      <c r="G516" s="4" t="s">
        <v>21</v>
      </c>
      <c r="H516" s="44" t="s">
        <v>620</v>
      </c>
      <c r="I516" s="5" t="s">
        <v>288</v>
      </c>
      <c r="J516" s="36" t="s">
        <v>289</v>
      </c>
      <c r="K516" s="6"/>
      <c r="L516" s="6"/>
      <c r="M516" s="2"/>
      <c r="N516" s="2"/>
      <c r="O516" s="2"/>
      <c r="P516" s="2"/>
      <c r="Q516" s="2"/>
      <c r="R516" s="2"/>
      <c r="S516" s="2"/>
      <c r="T516" s="2"/>
      <c r="U516" s="2"/>
      <c r="V516" s="2"/>
      <c r="W516" s="2"/>
      <c r="X516" s="2"/>
      <c r="Y516" s="2"/>
      <c r="Z516" s="2"/>
      <c r="AA516" s="2"/>
      <c r="AB516" s="2"/>
      <c r="AC516" s="2"/>
      <c r="AD516" s="2"/>
      <c r="AE516" s="2"/>
      <c r="AF516" s="2"/>
    </row>
    <row r="517" spans="1:35" ht="22.5" customHeight="1" x14ac:dyDescent="0.25">
      <c r="A517" s="8">
        <f t="shared" si="8"/>
        <v>516</v>
      </c>
      <c r="B517" s="24" t="s">
        <v>295</v>
      </c>
      <c r="C517" s="27">
        <v>44104</v>
      </c>
      <c r="D517" s="4">
        <v>18</v>
      </c>
      <c r="E517" s="4" t="s">
        <v>25</v>
      </c>
      <c r="F517" s="4" t="s">
        <v>50</v>
      </c>
      <c r="G517" s="4" t="s">
        <v>21</v>
      </c>
      <c r="H517" s="44" t="s">
        <v>621</v>
      </c>
      <c r="I517" s="5" t="s">
        <v>288</v>
      </c>
      <c r="J517" s="36" t="s">
        <v>289</v>
      </c>
      <c r="K517" s="6"/>
      <c r="L517" s="6"/>
      <c r="M517" s="2"/>
      <c r="N517" s="2"/>
      <c r="O517" s="2"/>
      <c r="P517" s="2"/>
      <c r="Q517" s="2"/>
      <c r="R517" s="2"/>
      <c r="S517" s="2"/>
      <c r="T517" s="2"/>
      <c r="U517" s="2"/>
      <c r="V517" s="2"/>
      <c r="W517" s="2"/>
      <c r="X517" s="2"/>
      <c r="Y517" s="2"/>
      <c r="Z517" s="2"/>
      <c r="AA517" s="2"/>
      <c r="AB517" s="2"/>
      <c r="AC517" s="2"/>
      <c r="AD517" s="2"/>
      <c r="AE517" s="2"/>
      <c r="AF517" s="2"/>
    </row>
    <row r="518" spans="1:35" ht="22.5" customHeight="1" x14ac:dyDescent="0.25">
      <c r="A518" s="8">
        <f t="shared" si="8"/>
        <v>517</v>
      </c>
      <c r="B518" s="24" t="s">
        <v>292</v>
      </c>
      <c r="C518" s="27">
        <v>42234</v>
      </c>
      <c r="D518" s="4">
        <v>44</v>
      </c>
      <c r="E518" s="4" t="s">
        <v>25</v>
      </c>
      <c r="F518" s="4" t="s">
        <v>50</v>
      </c>
      <c r="G518" s="4" t="s">
        <v>21</v>
      </c>
      <c r="H518" s="44" t="s">
        <v>621</v>
      </c>
      <c r="I518" s="13" t="s">
        <v>288</v>
      </c>
      <c r="J518" s="36" t="s">
        <v>289</v>
      </c>
      <c r="K518" s="6"/>
      <c r="L518" s="6"/>
      <c r="M518" s="2"/>
      <c r="N518" s="2"/>
      <c r="O518" s="2"/>
      <c r="P518" s="2"/>
      <c r="Q518" s="2"/>
      <c r="R518" s="2"/>
      <c r="S518" s="2"/>
      <c r="T518" s="2"/>
      <c r="U518" s="2"/>
      <c r="V518" s="2"/>
      <c r="W518" s="2"/>
      <c r="X518" s="2"/>
      <c r="Y518" s="2"/>
      <c r="Z518" s="2"/>
      <c r="AA518" s="2"/>
      <c r="AB518" s="2"/>
      <c r="AC518" s="2"/>
      <c r="AD518" s="2"/>
      <c r="AE518" s="2"/>
      <c r="AF518" s="2"/>
    </row>
    <row r="519" spans="1:35" ht="22.5" customHeight="1" x14ac:dyDescent="0.25">
      <c r="A519" s="8">
        <f t="shared" si="8"/>
        <v>518</v>
      </c>
      <c r="B519" s="24" t="s">
        <v>422</v>
      </c>
      <c r="C519" s="27">
        <v>40923</v>
      </c>
      <c r="D519" s="4">
        <v>39</v>
      </c>
      <c r="E519" s="4" t="s">
        <v>19</v>
      </c>
      <c r="F519" s="4" t="s">
        <v>61</v>
      </c>
      <c r="G519" s="4" t="s">
        <v>21</v>
      </c>
      <c r="H519" s="44" t="s">
        <v>620</v>
      </c>
      <c r="I519" s="5" t="s">
        <v>288</v>
      </c>
      <c r="J519" s="36" t="s">
        <v>289</v>
      </c>
      <c r="K519" s="6"/>
      <c r="L519" s="6"/>
      <c r="M519" s="2"/>
      <c r="N519" s="2"/>
      <c r="O519" s="2"/>
      <c r="P519" s="2"/>
      <c r="Q519" s="2"/>
      <c r="R519" s="2"/>
      <c r="S519" s="2"/>
      <c r="T519" s="2"/>
      <c r="U519" s="2"/>
      <c r="V519" s="2"/>
      <c r="W519" s="2"/>
      <c r="X519" s="2"/>
      <c r="Y519" s="2"/>
      <c r="Z519" s="2"/>
      <c r="AA519" s="2"/>
      <c r="AB519" s="2"/>
      <c r="AC519" s="2"/>
      <c r="AD519" s="2"/>
      <c r="AE519" s="2"/>
      <c r="AF519" s="2"/>
    </row>
    <row r="520" spans="1:35" ht="22.5" customHeight="1" x14ac:dyDescent="0.25">
      <c r="A520" s="8">
        <f t="shared" si="8"/>
        <v>519</v>
      </c>
      <c r="B520" s="24" t="s">
        <v>290</v>
      </c>
      <c r="C520" s="27">
        <v>40831</v>
      </c>
      <c r="D520" s="4">
        <v>54</v>
      </c>
      <c r="E520" s="4" t="s">
        <v>25</v>
      </c>
      <c r="F520" s="4" t="s">
        <v>34</v>
      </c>
      <c r="G520" s="4" t="s">
        <v>21</v>
      </c>
      <c r="H520" s="44" t="s">
        <v>622</v>
      </c>
      <c r="I520" s="5" t="s">
        <v>288</v>
      </c>
      <c r="J520" s="36" t="s">
        <v>289</v>
      </c>
      <c r="K520" s="6"/>
      <c r="L520" s="6"/>
      <c r="M520" s="2"/>
      <c r="N520" s="2"/>
      <c r="O520" s="2"/>
      <c r="P520" s="2"/>
      <c r="Q520" s="2"/>
      <c r="R520" s="2"/>
      <c r="S520" s="2"/>
      <c r="T520" s="2"/>
      <c r="U520" s="2"/>
      <c r="V520" s="2"/>
      <c r="W520" s="2"/>
      <c r="X520" s="2"/>
      <c r="Y520" s="2"/>
      <c r="Z520" s="2"/>
      <c r="AA520" s="2"/>
      <c r="AB520" s="2"/>
      <c r="AC520" s="2"/>
      <c r="AD520" s="2"/>
      <c r="AE520" s="2"/>
      <c r="AF520" s="2"/>
    </row>
    <row r="521" spans="1:35" ht="22.5" customHeight="1" thickBot="1" x14ac:dyDescent="0.3">
      <c r="A521" s="8">
        <f t="shared" si="8"/>
        <v>520</v>
      </c>
      <c r="B521" s="43" t="s">
        <v>287</v>
      </c>
      <c r="C521" s="27">
        <v>40875</v>
      </c>
      <c r="D521" s="4">
        <v>70</v>
      </c>
      <c r="E521" s="4" t="s">
        <v>19</v>
      </c>
      <c r="F521" s="4" t="s">
        <v>39</v>
      </c>
      <c r="G521" s="4" t="s">
        <v>21</v>
      </c>
      <c r="H521" s="44" t="s">
        <v>621</v>
      </c>
      <c r="I521" s="5" t="s">
        <v>288</v>
      </c>
      <c r="J521" s="42" t="s">
        <v>289</v>
      </c>
      <c r="K521" s="6"/>
      <c r="L521" s="6"/>
      <c r="M521" s="2"/>
      <c r="N521" s="2"/>
      <c r="O521" s="2"/>
      <c r="P521" s="2"/>
      <c r="Q521" s="2"/>
      <c r="R521" s="2"/>
      <c r="S521" s="2"/>
      <c r="T521" s="2"/>
      <c r="U521" s="2"/>
      <c r="V521" s="2"/>
      <c r="W521" s="2"/>
      <c r="X521" s="2"/>
      <c r="Y521" s="2"/>
      <c r="Z521" s="2"/>
      <c r="AA521" s="2"/>
      <c r="AB521" s="2"/>
      <c r="AC521" s="2"/>
      <c r="AD521" s="2"/>
      <c r="AE521" s="2"/>
      <c r="AF521" s="2"/>
    </row>
    <row r="522" spans="1:35" ht="12.5" x14ac:dyDescent="0.25">
      <c r="C522" s="1"/>
      <c r="D522" s="10"/>
      <c r="E522" s="14"/>
      <c r="F522" s="1"/>
      <c r="G522" s="1"/>
      <c r="H522" s="1"/>
      <c r="K522" s="6"/>
      <c r="L522" s="6"/>
      <c r="M522" s="1"/>
      <c r="N522" s="6"/>
      <c r="O522" s="6"/>
      <c r="P522" s="2"/>
      <c r="Q522" s="2"/>
      <c r="R522" s="2"/>
      <c r="S522" s="2"/>
      <c r="T522" s="2"/>
      <c r="U522" s="2"/>
      <c r="V522" s="2"/>
      <c r="W522" s="2"/>
      <c r="X522" s="2"/>
      <c r="Y522" s="2"/>
      <c r="Z522" s="2"/>
      <c r="AA522" s="2"/>
      <c r="AB522" s="2"/>
      <c r="AC522" s="2"/>
      <c r="AD522" s="2"/>
      <c r="AE522" s="2"/>
      <c r="AF522" s="2"/>
      <c r="AG522" s="2"/>
      <c r="AH522" s="2"/>
      <c r="AI522" s="2"/>
    </row>
    <row r="523" spans="1:35" ht="12.5" x14ac:dyDescent="0.25">
      <c r="C523" s="1"/>
      <c r="D523" s="10"/>
      <c r="E523" s="14"/>
      <c r="F523" s="1"/>
      <c r="G523" s="1"/>
      <c r="H523" s="1"/>
      <c r="K523" s="6"/>
      <c r="L523" s="6"/>
      <c r="M523" s="1"/>
      <c r="N523" s="6"/>
      <c r="O523" s="6"/>
      <c r="P523" s="2"/>
      <c r="Q523" s="2"/>
      <c r="R523" s="2"/>
      <c r="S523" s="2"/>
      <c r="T523" s="2"/>
      <c r="U523" s="2"/>
      <c r="V523" s="2"/>
      <c r="W523" s="2"/>
      <c r="X523" s="2"/>
      <c r="Y523" s="2"/>
      <c r="Z523" s="2"/>
      <c r="AA523" s="2"/>
      <c r="AB523" s="2"/>
      <c r="AC523" s="2"/>
      <c r="AD523" s="2"/>
      <c r="AE523" s="2"/>
      <c r="AF523" s="2"/>
      <c r="AG523" s="2"/>
      <c r="AH523" s="2"/>
      <c r="AI523" s="2"/>
    </row>
    <row r="524" spans="1:35" ht="12.5" x14ac:dyDescent="0.25">
      <c r="C524" s="1"/>
      <c r="D524" s="10"/>
      <c r="E524" s="14"/>
      <c r="F524" s="1"/>
      <c r="G524" s="1"/>
      <c r="H524" s="1"/>
      <c r="K524" s="6"/>
      <c r="L524" s="6"/>
      <c r="M524" s="1"/>
      <c r="N524" s="6"/>
      <c r="O524" s="6"/>
      <c r="P524" s="2"/>
      <c r="Q524" s="2"/>
      <c r="R524" s="2"/>
      <c r="S524" s="2"/>
      <c r="T524" s="2"/>
      <c r="U524" s="2"/>
      <c r="V524" s="2"/>
      <c r="W524" s="2"/>
      <c r="X524" s="2"/>
      <c r="Y524" s="2"/>
      <c r="Z524" s="2"/>
      <c r="AA524" s="2"/>
      <c r="AB524" s="2"/>
      <c r="AC524" s="2"/>
      <c r="AD524" s="2"/>
      <c r="AE524" s="2"/>
      <c r="AF524" s="2"/>
      <c r="AG524" s="2"/>
      <c r="AH524" s="2"/>
      <c r="AI524" s="2"/>
    </row>
    <row r="525" spans="1:35" ht="12.5" x14ac:dyDescent="0.25">
      <c r="C525" s="1"/>
      <c r="D525" s="10"/>
      <c r="E525" s="14"/>
      <c r="F525" s="1"/>
      <c r="G525" s="1"/>
      <c r="H525" s="1"/>
      <c r="K525" s="6"/>
      <c r="L525" s="6"/>
      <c r="M525" s="1"/>
      <c r="N525" s="6"/>
      <c r="O525" s="6"/>
      <c r="P525" s="2"/>
      <c r="Q525" s="2"/>
      <c r="R525" s="2"/>
      <c r="S525" s="2"/>
      <c r="T525" s="2"/>
      <c r="U525" s="2"/>
      <c r="V525" s="2"/>
      <c r="W525" s="2"/>
      <c r="X525" s="2"/>
      <c r="Y525" s="2"/>
      <c r="Z525" s="2"/>
      <c r="AA525" s="2"/>
      <c r="AB525" s="2"/>
      <c r="AC525" s="2"/>
      <c r="AD525" s="2"/>
      <c r="AE525" s="2"/>
      <c r="AF525" s="2"/>
      <c r="AG525" s="2"/>
      <c r="AH525" s="2"/>
      <c r="AI525" s="2"/>
    </row>
    <row r="526" spans="1:35" ht="12.5" x14ac:dyDescent="0.25">
      <c r="C526" s="1"/>
      <c r="D526" s="10"/>
      <c r="E526" s="14"/>
      <c r="F526" s="1"/>
      <c r="G526" s="1"/>
      <c r="H526" s="1"/>
      <c r="K526" s="6"/>
      <c r="L526" s="6"/>
      <c r="M526" s="1"/>
      <c r="N526" s="6"/>
      <c r="O526" s="6"/>
      <c r="P526" s="2"/>
      <c r="Q526" s="2"/>
      <c r="R526" s="2"/>
      <c r="S526" s="2"/>
      <c r="T526" s="2"/>
      <c r="U526" s="2"/>
      <c r="V526" s="2"/>
      <c r="W526" s="2"/>
      <c r="X526" s="2"/>
      <c r="Y526" s="2"/>
      <c r="Z526" s="2"/>
      <c r="AA526" s="2"/>
      <c r="AB526" s="2"/>
      <c r="AC526" s="2"/>
      <c r="AD526" s="2"/>
      <c r="AE526" s="2"/>
      <c r="AF526" s="2"/>
      <c r="AG526" s="2"/>
      <c r="AH526" s="2"/>
      <c r="AI526" s="2"/>
    </row>
    <row r="527" spans="1:35" ht="12.5" x14ac:dyDescent="0.25">
      <c r="C527" s="1"/>
      <c r="D527" s="10"/>
      <c r="E527" s="14"/>
      <c r="F527" s="1"/>
      <c r="G527" s="1"/>
      <c r="H527" s="1"/>
      <c r="K527" s="6"/>
      <c r="L527" s="6"/>
      <c r="M527" s="1"/>
      <c r="N527" s="6"/>
      <c r="O527" s="6"/>
      <c r="P527" s="2"/>
      <c r="Q527" s="2"/>
      <c r="R527" s="2"/>
      <c r="S527" s="2"/>
      <c r="T527" s="2"/>
      <c r="U527" s="2"/>
      <c r="V527" s="2"/>
      <c r="W527" s="2"/>
      <c r="X527" s="2"/>
      <c r="Y527" s="2"/>
      <c r="Z527" s="2"/>
      <c r="AA527" s="2"/>
      <c r="AB527" s="2"/>
      <c r="AC527" s="2"/>
      <c r="AD527" s="2"/>
      <c r="AE527" s="2"/>
      <c r="AF527" s="2"/>
      <c r="AG527" s="2"/>
      <c r="AH527" s="2"/>
      <c r="AI527" s="2"/>
    </row>
    <row r="528" spans="1:35" ht="12.5" x14ac:dyDescent="0.25">
      <c r="C528" s="1"/>
      <c r="D528" s="10"/>
      <c r="E528" s="14"/>
      <c r="F528" s="1"/>
      <c r="G528" s="1"/>
      <c r="H528" s="1"/>
      <c r="K528" s="6"/>
      <c r="L528" s="6"/>
      <c r="M528" s="1"/>
      <c r="N528" s="6"/>
      <c r="O528" s="6"/>
      <c r="P528" s="2"/>
      <c r="Q528" s="2"/>
      <c r="R528" s="2"/>
      <c r="S528" s="2"/>
      <c r="T528" s="2"/>
      <c r="U528" s="2"/>
      <c r="V528" s="2"/>
      <c r="W528" s="2"/>
      <c r="X528" s="2"/>
      <c r="Y528" s="2"/>
      <c r="Z528" s="2"/>
      <c r="AA528" s="2"/>
      <c r="AB528" s="2"/>
      <c r="AC528" s="2"/>
      <c r="AD528" s="2"/>
      <c r="AE528" s="2"/>
      <c r="AF528" s="2"/>
      <c r="AG528" s="2"/>
      <c r="AH528" s="2"/>
      <c r="AI528" s="2"/>
    </row>
    <row r="529" spans="3:35" ht="12.5" x14ac:dyDescent="0.25">
      <c r="C529" s="1"/>
      <c r="D529" s="10"/>
      <c r="E529" s="14"/>
      <c r="F529" s="1"/>
      <c r="G529" s="1"/>
      <c r="H529" s="1"/>
      <c r="K529" s="6"/>
      <c r="L529" s="6"/>
      <c r="M529" s="1"/>
      <c r="N529" s="6"/>
      <c r="O529" s="6"/>
      <c r="P529" s="2"/>
      <c r="Q529" s="2"/>
      <c r="R529" s="2"/>
      <c r="S529" s="2"/>
      <c r="T529" s="2"/>
      <c r="U529" s="2"/>
      <c r="V529" s="2"/>
      <c r="W529" s="2"/>
      <c r="X529" s="2"/>
      <c r="Y529" s="2"/>
      <c r="Z529" s="2"/>
      <c r="AA529" s="2"/>
      <c r="AB529" s="2"/>
      <c r="AC529" s="2"/>
      <c r="AD529" s="2"/>
      <c r="AE529" s="2"/>
      <c r="AF529" s="2"/>
      <c r="AG529" s="2"/>
      <c r="AH529" s="2"/>
      <c r="AI529" s="2"/>
    </row>
    <row r="530" spans="3:35" ht="12.5" x14ac:dyDescent="0.25">
      <c r="C530" s="1"/>
      <c r="D530" s="10"/>
      <c r="E530" s="14"/>
      <c r="F530" s="1"/>
      <c r="G530" s="1"/>
      <c r="H530" s="1"/>
      <c r="K530" s="6"/>
      <c r="L530" s="6"/>
      <c r="M530" s="1"/>
      <c r="N530" s="6"/>
      <c r="O530" s="6"/>
      <c r="P530" s="2"/>
      <c r="Q530" s="2"/>
      <c r="R530" s="2"/>
      <c r="S530" s="2"/>
      <c r="T530" s="2"/>
      <c r="U530" s="2"/>
      <c r="V530" s="2"/>
      <c r="W530" s="2"/>
      <c r="X530" s="2"/>
      <c r="Y530" s="2"/>
      <c r="Z530" s="2"/>
      <c r="AA530" s="2"/>
      <c r="AB530" s="2"/>
      <c r="AC530" s="2"/>
      <c r="AD530" s="2"/>
      <c r="AE530" s="2"/>
      <c r="AF530" s="2"/>
      <c r="AG530" s="2"/>
      <c r="AH530" s="2"/>
      <c r="AI530" s="2"/>
    </row>
    <row r="531" spans="3:35" ht="12.5" x14ac:dyDescent="0.25">
      <c r="C531" s="1"/>
      <c r="D531" s="10"/>
      <c r="E531" s="14"/>
      <c r="F531" s="1"/>
      <c r="G531" s="1"/>
      <c r="H531" s="1"/>
      <c r="K531" s="6"/>
      <c r="L531" s="6"/>
      <c r="M531" s="1"/>
      <c r="N531" s="6"/>
      <c r="O531" s="6"/>
      <c r="P531" s="2"/>
      <c r="Q531" s="2"/>
      <c r="R531" s="2"/>
      <c r="S531" s="2"/>
      <c r="T531" s="2"/>
      <c r="U531" s="2"/>
      <c r="V531" s="2"/>
      <c r="W531" s="2"/>
      <c r="X531" s="2"/>
      <c r="Y531" s="2"/>
      <c r="Z531" s="2"/>
      <c r="AA531" s="2"/>
      <c r="AB531" s="2"/>
      <c r="AC531" s="2"/>
      <c r="AD531" s="2"/>
      <c r="AE531" s="2"/>
      <c r="AF531" s="2"/>
      <c r="AG531" s="2"/>
      <c r="AH531" s="2"/>
      <c r="AI531" s="2"/>
    </row>
    <row r="532" spans="3:35" ht="12.5" x14ac:dyDescent="0.25">
      <c r="C532" s="1"/>
      <c r="D532" s="10"/>
      <c r="E532" s="14"/>
      <c r="F532" s="1"/>
      <c r="G532" s="1"/>
      <c r="H532" s="1"/>
      <c r="K532" s="6"/>
      <c r="L532" s="6"/>
      <c r="M532" s="1"/>
      <c r="N532" s="6"/>
      <c r="O532" s="6"/>
      <c r="P532" s="2"/>
      <c r="Q532" s="2"/>
      <c r="R532" s="2"/>
      <c r="S532" s="2"/>
      <c r="T532" s="2"/>
      <c r="U532" s="2"/>
      <c r="V532" s="2"/>
      <c r="W532" s="2"/>
      <c r="X532" s="2"/>
      <c r="Y532" s="2"/>
      <c r="Z532" s="2"/>
      <c r="AA532" s="2"/>
      <c r="AB532" s="2"/>
      <c r="AC532" s="2"/>
      <c r="AD532" s="2"/>
      <c r="AE532" s="2"/>
      <c r="AF532" s="2"/>
      <c r="AG532" s="2"/>
      <c r="AH532" s="2"/>
      <c r="AI532" s="2"/>
    </row>
    <row r="533" spans="3:35" ht="12.5" x14ac:dyDescent="0.25">
      <c r="C533" s="1"/>
      <c r="D533" s="10"/>
      <c r="E533" s="14"/>
      <c r="F533" s="1"/>
      <c r="G533" s="1"/>
      <c r="H533" s="1"/>
      <c r="K533" s="6"/>
      <c r="L533" s="6"/>
      <c r="M533" s="1"/>
      <c r="N533" s="6"/>
      <c r="O533" s="6"/>
      <c r="P533" s="2"/>
      <c r="Q533" s="2"/>
      <c r="R533" s="2"/>
      <c r="S533" s="2"/>
      <c r="T533" s="2"/>
      <c r="U533" s="2"/>
      <c r="V533" s="2"/>
      <c r="W533" s="2"/>
      <c r="X533" s="2"/>
      <c r="Y533" s="2"/>
      <c r="Z533" s="2"/>
      <c r="AA533" s="2"/>
      <c r="AB533" s="2"/>
      <c r="AC533" s="2"/>
      <c r="AD533" s="2"/>
      <c r="AE533" s="2"/>
      <c r="AF533" s="2"/>
      <c r="AG533" s="2"/>
      <c r="AH533" s="2"/>
      <c r="AI533" s="2"/>
    </row>
    <row r="534" spans="3:35" ht="12.5" x14ac:dyDescent="0.25">
      <c r="C534" s="1"/>
      <c r="D534" s="10"/>
      <c r="E534" s="14"/>
      <c r="F534" s="1"/>
      <c r="G534" s="1"/>
      <c r="H534" s="1"/>
      <c r="K534" s="6"/>
      <c r="L534" s="6"/>
      <c r="M534" s="1"/>
      <c r="N534" s="6"/>
      <c r="O534" s="6"/>
      <c r="P534" s="2"/>
      <c r="Q534" s="2"/>
      <c r="R534" s="2"/>
      <c r="S534" s="2"/>
      <c r="T534" s="2"/>
      <c r="U534" s="2"/>
      <c r="V534" s="2"/>
      <c r="W534" s="2"/>
      <c r="X534" s="2"/>
      <c r="Y534" s="2"/>
      <c r="Z534" s="2"/>
      <c r="AA534" s="2"/>
      <c r="AB534" s="2"/>
      <c r="AC534" s="2"/>
      <c r="AD534" s="2"/>
      <c r="AE534" s="2"/>
      <c r="AF534" s="2"/>
      <c r="AG534" s="2"/>
      <c r="AH534" s="2"/>
      <c r="AI534" s="2"/>
    </row>
    <row r="535" spans="3:35" ht="12.5" x14ac:dyDescent="0.25">
      <c r="C535" s="1"/>
      <c r="D535" s="10"/>
      <c r="E535" s="14"/>
      <c r="F535" s="1"/>
      <c r="G535" s="1"/>
      <c r="H535" s="1"/>
      <c r="K535" s="6"/>
      <c r="L535" s="6"/>
      <c r="M535" s="1"/>
      <c r="N535" s="6"/>
      <c r="O535" s="6"/>
      <c r="P535" s="2"/>
      <c r="Q535" s="2"/>
      <c r="R535" s="2"/>
      <c r="S535" s="2"/>
      <c r="T535" s="2"/>
      <c r="U535" s="2"/>
      <c r="V535" s="2"/>
      <c r="W535" s="2"/>
      <c r="X535" s="2"/>
      <c r="Y535" s="2"/>
      <c r="Z535" s="2"/>
      <c r="AA535" s="2"/>
      <c r="AB535" s="2"/>
      <c r="AC535" s="2"/>
      <c r="AD535" s="2"/>
      <c r="AE535" s="2"/>
      <c r="AF535" s="2"/>
      <c r="AG535" s="2"/>
      <c r="AH535" s="2"/>
      <c r="AI535" s="2"/>
    </row>
  </sheetData>
  <autoFilter ref="A1:A480" xr:uid="{00000000-0001-0000-0000-000000000000}"/>
  <phoneticPr fontId="6" type="noConversion"/>
  <conditionalFormatting sqref="B2:J521">
    <cfRule type="expression" dxfId="6" priority="1">
      <formula>MOD(ROW(),2)</formula>
    </cfRule>
    <cfRule type="expression" dxfId="5" priority="4">
      <formula>MOD(row0,2)</formula>
    </cfRule>
    <cfRule type="expression" dxfId="4" priority="5">
      <formula>MODE(row0,2)</formula>
    </cfRule>
    <cfRule type="expression" dxfId="3" priority="7">
      <formula>"mode(row0,2)"</formula>
    </cfRule>
    <cfRule type="expression" dxfId="2" priority="8">
      <formula>"mode(row0,2)"</formula>
    </cfRule>
    <cfRule type="expression" dxfId="1" priority="9">
      <formula>"mode(row0,2)"</formula>
    </cfRule>
    <cfRule type="expression" priority="10">
      <formula>MODE(row0,2)</formula>
    </cfRule>
  </conditionalFormatting>
  <conditionalFormatting sqref="H7">
    <cfRule type="colorScale" priority="6">
      <colorScale>
        <cfvo type="min"/>
        <cfvo type="percentile" val="50"/>
        <cfvo type="max"/>
        <color rgb="FFF8696B"/>
        <color rgb="FFFCFCFF"/>
        <color rgb="FF63BE7B"/>
      </colorScale>
    </cfRule>
  </conditionalFormatting>
  <conditionalFormatting sqref="B3:C10">
    <cfRule type="expression" priority="2">
      <formula>MOD(ROW(),2)</formula>
    </cfRule>
    <cfRule type="expression" dxfId="0" priority="3">
      <formula>MOD(row0,2)</formula>
    </cfRule>
  </conditionalFormatting>
  <pageMargins left="0.25" right="0.25" top="0.75" bottom="0.75" header="0.3" footer="0.3"/>
  <pageSetup paperSize="9" orientation="portrait"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69A78-50D9-44EE-A8D3-FAD13B9953DE}">
  <sheetPr>
    <outlinePr summaryBelow="0" summaryRight="0"/>
  </sheetPr>
  <dimension ref="A1:AJ535"/>
  <sheetViews>
    <sheetView zoomScaleNormal="100" workbookViewId="0">
      <selection activeCell="D2" sqref="D2"/>
    </sheetView>
  </sheetViews>
  <sheetFormatPr defaultColWidth="12.6328125" defaultRowHeight="15.75" customHeight="1" x14ac:dyDescent="0.25"/>
  <cols>
    <col min="1" max="1" width="12" style="9" bestFit="1" customWidth="1"/>
    <col min="2" max="2" width="27.90625" bestFit="1" customWidth="1"/>
    <col min="3" max="3" width="19.36328125" style="9" bestFit="1" customWidth="1"/>
    <col min="4" max="4" width="19.36328125" style="9" customWidth="1"/>
    <col min="5" max="5" width="18.1796875" style="11" bestFit="1" customWidth="1"/>
    <col min="6" max="6" width="13" style="15" bestFit="1" customWidth="1"/>
    <col min="7" max="7" width="14" style="9" bestFit="1" customWidth="1"/>
    <col min="8" max="8" width="12.54296875" style="9" bestFit="1" customWidth="1"/>
    <col min="9" max="9" width="12.54296875" style="9" customWidth="1"/>
    <col min="10" max="10" width="27.26953125" bestFit="1" customWidth="1"/>
    <col min="11" max="11" width="22.1796875" bestFit="1" customWidth="1"/>
    <col min="12" max="12" width="32.54296875" style="7" bestFit="1" customWidth="1"/>
    <col min="13" max="13" width="21.90625" style="7" customWidth="1"/>
    <col min="14" max="14" width="30.453125" style="9" customWidth="1"/>
    <col min="15" max="15" width="19.90625" style="7" customWidth="1"/>
    <col min="16" max="16" width="27.6328125" style="7" customWidth="1"/>
    <col min="17" max="36" width="18.90625" customWidth="1"/>
  </cols>
  <sheetData>
    <row r="1" spans="1:31" s="23" customFormat="1" ht="22.5" customHeight="1" x14ac:dyDescent="0.3">
      <c r="A1" s="20" t="s">
        <v>561</v>
      </c>
      <c r="B1" s="35" t="s">
        <v>0</v>
      </c>
      <c r="C1" s="26" t="s">
        <v>1</v>
      </c>
      <c r="D1" s="26" t="s">
        <v>623</v>
      </c>
      <c r="E1" s="21" t="s">
        <v>2</v>
      </c>
      <c r="F1" s="21" t="s">
        <v>3</v>
      </c>
      <c r="G1" s="21" t="s">
        <v>4</v>
      </c>
      <c r="H1" s="21" t="s">
        <v>5</v>
      </c>
      <c r="I1" s="22" t="s">
        <v>619</v>
      </c>
      <c r="J1" s="22" t="s">
        <v>6</v>
      </c>
      <c r="K1" s="34" t="s">
        <v>7</v>
      </c>
      <c r="N1" s="23" t="s">
        <v>8</v>
      </c>
      <c r="O1" s="23" t="s">
        <v>9</v>
      </c>
      <c r="P1" s="23" t="s">
        <v>10</v>
      </c>
      <c r="R1" s="23" t="s">
        <v>11</v>
      </c>
      <c r="S1" s="23" t="s">
        <v>12</v>
      </c>
      <c r="T1" s="23" t="s">
        <v>13</v>
      </c>
      <c r="U1" s="23" t="s">
        <v>14</v>
      </c>
      <c r="V1" s="23" t="s">
        <v>12</v>
      </c>
      <c r="X1" s="23" t="s">
        <v>12</v>
      </c>
      <c r="Y1" s="23" t="s">
        <v>15</v>
      </c>
      <c r="AA1" s="23" t="s">
        <v>16</v>
      </c>
      <c r="AB1" s="23" t="s">
        <v>12</v>
      </c>
      <c r="AE1" s="23" t="s">
        <v>17</v>
      </c>
    </row>
    <row r="2" spans="1:31" ht="22.5" customHeight="1" x14ac:dyDescent="0.25">
      <c r="A2" s="8">
        <v>1</v>
      </c>
      <c r="B2" s="24" t="s">
        <v>447</v>
      </c>
      <c r="C2" s="27">
        <v>42334</v>
      </c>
      <c r="D2" s="45">
        <f ca="1">DATEDIF(C2, TODAY(), "Y")</f>
        <v>10</v>
      </c>
      <c r="E2" s="4">
        <v>34</v>
      </c>
      <c r="F2" s="4" t="s">
        <v>25</v>
      </c>
      <c r="G2" s="4" t="s">
        <v>42</v>
      </c>
      <c r="H2" s="4" t="s">
        <v>21</v>
      </c>
      <c r="I2" s="44" t="s">
        <v>620</v>
      </c>
      <c r="J2" s="5" t="s">
        <v>441</v>
      </c>
      <c r="K2" s="36" t="s">
        <v>442</v>
      </c>
      <c r="L2" s="2"/>
      <c r="M2" s="2"/>
      <c r="N2" s="2"/>
      <c r="O2" s="2"/>
      <c r="P2" s="2"/>
      <c r="Q2" s="2"/>
      <c r="R2" s="2"/>
      <c r="S2" s="3"/>
      <c r="T2" s="2"/>
      <c r="U2" s="2"/>
      <c r="V2" s="2"/>
      <c r="W2" s="2"/>
      <c r="X2" s="2"/>
      <c r="Y2" s="2"/>
      <c r="Z2" s="2"/>
      <c r="AA2" s="2"/>
      <c r="AB2" s="2"/>
      <c r="AC2" s="2"/>
      <c r="AD2" s="2"/>
      <c r="AE2" s="2"/>
    </row>
    <row r="3" spans="1:31" ht="22.5" customHeight="1" x14ac:dyDescent="0.25">
      <c r="A3" s="8">
        <f t="shared" ref="A3:A66" si="0">A2+1</f>
        <v>2</v>
      </c>
      <c r="B3" s="24" t="s">
        <v>446</v>
      </c>
      <c r="C3" s="27">
        <v>41940</v>
      </c>
      <c r="D3" s="45">
        <f t="shared" ref="D3:D66" ca="1" si="1">DATEDIF(C3, TODAY(), "Y")</f>
        <v>11</v>
      </c>
      <c r="E3" s="4">
        <v>44</v>
      </c>
      <c r="F3" s="4" t="s">
        <v>25</v>
      </c>
      <c r="G3" s="4" t="s">
        <v>28</v>
      </c>
      <c r="H3" s="4" t="s">
        <v>21</v>
      </c>
      <c r="I3" s="44" t="s">
        <v>621</v>
      </c>
      <c r="J3" s="5" t="s">
        <v>441</v>
      </c>
      <c r="K3" s="37" t="s">
        <v>442</v>
      </c>
      <c r="L3" s="2"/>
      <c r="M3" s="2"/>
      <c r="N3" s="2"/>
      <c r="O3" s="2"/>
      <c r="P3" s="2"/>
      <c r="Q3" s="2"/>
      <c r="R3" s="2"/>
      <c r="S3" s="3"/>
      <c r="T3" s="2"/>
      <c r="U3" s="2"/>
      <c r="V3" s="2"/>
      <c r="W3" s="2"/>
      <c r="X3" s="2"/>
      <c r="Y3" s="2"/>
      <c r="Z3" s="2"/>
      <c r="AA3" s="2"/>
      <c r="AB3" s="2"/>
      <c r="AC3" s="2"/>
      <c r="AD3" s="2"/>
      <c r="AE3" s="2"/>
    </row>
    <row r="4" spans="1:31" ht="22.5" customHeight="1" x14ac:dyDescent="0.25">
      <c r="A4" s="8">
        <f t="shared" si="0"/>
        <v>3</v>
      </c>
      <c r="B4" s="24" t="s">
        <v>448</v>
      </c>
      <c r="C4" s="27">
        <v>41456</v>
      </c>
      <c r="D4" s="45">
        <f ca="1">DATEDIF(C4, TODAY(), "Y")</f>
        <v>12</v>
      </c>
      <c r="E4" s="4">
        <v>56</v>
      </c>
      <c r="F4" s="4" t="s">
        <v>25</v>
      </c>
      <c r="G4" s="4" t="s">
        <v>42</v>
      </c>
      <c r="H4" s="4" t="s">
        <v>21</v>
      </c>
      <c r="I4" s="44" t="s">
        <v>621</v>
      </c>
      <c r="J4" s="5" t="s">
        <v>441</v>
      </c>
      <c r="K4" s="36" t="s">
        <v>442</v>
      </c>
      <c r="L4" s="2"/>
      <c r="M4" s="2"/>
      <c r="N4" s="2"/>
      <c r="O4" s="2"/>
      <c r="P4" s="2"/>
      <c r="Q4" s="2"/>
      <c r="R4" s="2"/>
      <c r="S4" s="3"/>
      <c r="T4" s="2"/>
      <c r="U4" s="2"/>
      <c r="V4" s="2"/>
      <c r="W4" s="2"/>
      <c r="X4" s="2"/>
      <c r="Y4" s="2"/>
      <c r="Z4" s="2"/>
      <c r="AA4" s="2"/>
      <c r="AB4" s="2"/>
      <c r="AC4" s="2"/>
      <c r="AD4" s="2"/>
      <c r="AE4" s="2"/>
    </row>
    <row r="5" spans="1:31" ht="22.5" customHeight="1" x14ac:dyDescent="0.25">
      <c r="A5" s="8">
        <f t="shared" si="0"/>
        <v>4</v>
      </c>
      <c r="B5" s="24" t="s">
        <v>440</v>
      </c>
      <c r="C5" s="27">
        <v>41233</v>
      </c>
      <c r="D5" s="45">
        <f t="shared" ca="1" si="1"/>
        <v>13</v>
      </c>
      <c r="E5" s="4">
        <v>46</v>
      </c>
      <c r="F5" s="4" t="s">
        <v>25</v>
      </c>
      <c r="G5" s="4" t="s">
        <v>42</v>
      </c>
      <c r="H5" s="4" t="s">
        <v>21</v>
      </c>
      <c r="I5" s="44" t="s">
        <v>620</v>
      </c>
      <c r="J5" s="5" t="s">
        <v>441</v>
      </c>
      <c r="K5" s="36" t="s">
        <v>442</v>
      </c>
      <c r="L5" s="2"/>
      <c r="M5" s="2"/>
      <c r="N5" s="2"/>
      <c r="O5" s="2"/>
      <c r="P5" s="2"/>
      <c r="Q5" s="2"/>
      <c r="R5" s="2"/>
      <c r="S5" s="3"/>
      <c r="T5" s="2"/>
      <c r="U5" s="2"/>
      <c r="V5" s="2"/>
      <c r="W5" s="2"/>
      <c r="X5" s="2"/>
      <c r="Y5" s="2"/>
      <c r="Z5" s="2"/>
      <c r="AA5" s="2"/>
      <c r="AB5" s="2"/>
      <c r="AC5" s="2"/>
      <c r="AD5" s="2"/>
      <c r="AE5" s="2"/>
    </row>
    <row r="6" spans="1:31" ht="22.5" customHeight="1" x14ac:dyDescent="0.25">
      <c r="A6" s="8">
        <f t="shared" si="0"/>
        <v>5</v>
      </c>
      <c r="B6" s="24" t="s">
        <v>278</v>
      </c>
      <c r="C6" s="27">
        <v>43515</v>
      </c>
      <c r="D6" s="45">
        <f t="shared" ca="1" si="1"/>
        <v>7</v>
      </c>
      <c r="E6" s="4">
        <v>20</v>
      </c>
      <c r="F6" s="4" t="s">
        <v>25</v>
      </c>
      <c r="G6" s="4" t="s">
        <v>28</v>
      </c>
      <c r="H6" s="4" t="s">
        <v>21</v>
      </c>
      <c r="I6" s="44" t="s">
        <v>622</v>
      </c>
      <c r="J6" s="5" t="s">
        <v>117</v>
      </c>
      <c r="K6" s="36" t="s">
        <v>118</v>
      </c>
      <c r="L6" s="2"/>
      <c r="M6" s="2"/>
      <c r="N6" s="2"/>
      <c r="O6" s="2"/>
      <c r="P6" s="2"/>
      <c r="Q6" s="2"/>
      <c r="R6" s="2"/>
      <c r="S6" s="3"/>
      <c r="T6" s="2"/>
      <c r="U6" s="2"/>
      <c r="V6" s="2"/>
      <c r="W6" s="2"/>
      <c r="X6" s="2"/>
      <c r="Y6" s="2"/>
      <c r="Z6" s="2"/>
      <c r="AA6" s="2"/>
      <c r="AB6" s="2"/>
      <c r="AC6" s="2"/>
      <c r="AD6" s="2"/>
      <c r="AE6" s="2"/>
    </row>
    <row r="7" spans="1:31" ht="22.5" customHeight="1" x14ac:dyDescent="0.25">
      <c r="A7" s="8">
        <f t="shared" si="0"/>
        <v>6</v>
      </c>
      <c r="B7" s="24" t="s">
        <v>194</v>
      </c>
      <c r="C7" s="27">
        <v>41785</v>
      </c>
      <c r="D7" s="45">
        <f t="shared" ca="1" si="1"/>
        <v>11</v>
      </c>
      <c r="E7" s="4">
        <v>47</v>
      </c>
      <c r="F7" s="4" t="s">
        <v>25</v>
      </c>
      <c r="G7" s="4" t="s">
        <v>37</v>
      </c>
      <c r="H7" s="4" t="s">
        <v>21</v>
      </c>
      <c r="I7" s="44" t="s">
        <v>621</v>
      </c>
      <c r="J7" s="5" t="s">
        <v>117</v>
      </c>
      <c r="K7" s="36" t="s">
        <v>118</v>
      </c>
      <c r="L7" s="2"/>
      <c r="M7" s="2"/>
      <c r="N7" s="2"/>
      <c r="O7" s="2"/>
      <c r="P7" s="2"/>
      <c r="Q7" s="2"/>
      <c r="R7" s="2"/>
      <c r="S7" s="3"/>
      <c r="T7" s="2"/>
      <c r="U7" s="2"/>
      <c r="V7" s="2"/>
      <c r="W7" s="2"/>
      <c r="X7" s="2"/>
      <c r="Y7" s="2"/>
      <c r="Z7" s="2"/>
      <c r="AA7" s="2"/>
      <c r="AB7" s="2"/>
      <c r="AC7" s="2"/>
      <c r="AD7" s="2"/>
      <c r="AE7" s="2"/>
    </row>
    <row r="8" spans="1:31" ht="22.5" customHeight="1" x14ac:dyDescent="0.25">
      <c r="A8" s="8">
        <f t="shared" si="0"/>
        <v>7</v>
      </c>
      <c r="B8" s="24" t="s">
        <v>228</v>
      </c>
      <c r="C8" s="27">
        <v>41865</v>
      </c>
      <c r="D8" s="45">
        <f t="shared" ca="1" si="1"/>
        <v>11</v>
      </c>
      <c r="E8" s="4">
        <v>31</v>
      </c>
      <c r="F8" s="4" t="s">
        <v>19</v>
      </c>
      <c r="G8" s="4" t="s">
        <v>61</v>
      </c>
      <c r="H8" s="4" t="s">
        <v>21</v>
      </c>
      <c r="I8" s="44" t="s">
        <v>622</v>
      </c>
      <c r="J8" s="5" t="s">
        <v>117</v>
      </c>
      <c r="K8" s="36" t="s">
        <v>118</v>
      </c>
      <c r="L8" s="2"/>
      <c r="M8" s="2"/>
      <c r="N8" s="2"/>
      <c r="O8" s="2"/>
      <c r="P8" s="2"/>
      <c r="Q8" s="2"/>
      <c r="R8" s="2"/>
      <c r="S8" s="3"/>
      <c r="T8" s="2"/>
      <c r="U8" s="2"/>
      <c r="V8" s="2"/>
      <c r="W8" s="2"/>
      <c r="X8" s="2"/>
      <c r="Y8" s="2"/>
      <c r="Z8" s="2"/>
      <c r="AA8" s="2"/>
      <c r="AB8" s="2"/>
      <c r="AC8" s="2"/>
      <c r="AD8" s="2"/>
      <c r="AE8" s="2"/>
    </row>
    <row r="9" spans="1:31" ht="22.5" customHeight="1" x14ac:dyDescent="0.25">
      <c r="A9" s="8">
        <f t="shared" si="0"/>
        <v>8</v>
      </c>
      <c r="B9" s="24" t="s">
        <v>241</v>
      </c>
      <c r="C9" s="27">
        <v>41682</v>
      </c>
      <c r="D9" s="45">
        <f t="shared" ca="1" si="1"/>
        <v>12</v>
      </c>
      <c r="E9" s="4">
        <v>50</v>
      </c>
      <c r="F9" s="4" t="s">
        <v>19</v>
      </c>
      <c r="G9" s="4" t="s">
        <v>86</v>
      </c>
      <c r="H9" s="4" t="s">
        <v>21</v>
      </c>
      <c r="I9" s="44" t="s">
        <v>622</v>
      </c>
      <c r="J9" s="5" t="s">
        <v>117</v>
      </c>
      <c r="K9" s="36" t="s">
        <v>118</v>
      </c>
      <c r="L9" s="2"/>
      <c r="M9" s="2"/>
      <c r="N9" s="2"/>
      <c r="O9" s="2"/>
      <c r="P9" s="2"/>
      <c r="Q9" s="2"/>
      <c r="R9" s="2"/>
      <c r="S9" s="3"/>
      <c r="T9" s="2"/>
      <c r="U9" s="2"/>
      <c r="V9" s="2"/>
      <c r="W9" s="2"/>
      <c r="X9" s="2"/>
      <c r="Y9" s="2"/>
      <c r="Z9" s="2"/>
      <c r="AA9" s="2"/>
      <c r="AB9" s="2"/>
      <c r="AC9" s="2"/>
      <c r="AD9" s="2"/>
      <c r="AE9" s="2"/>
    </row>
    <row r="10" spans="1:31" ht="22.5" customHeight="1" x14ac:dyDescent="0.25">
      <c r="A10" s="8">
        <f t="shared" si="0"/>
        <v>9</v>
      </c>
      <c r="B10" s="24" t="s">
        <v>430</v>
      </c>
      <c r="C10" s="27">
        <v>40907</v>
      </c>
      <c r="D10" s="45">
        <f t="shared" ca="1" si="1"/>
        <v>14</v>
      </c>
      <c r="E10" s="4">
        <v>32</v>
      </c>
      <c r="F10" s="4" t="s">
        <v>25</v>
      </c>
      <c r="G10" s="4" t="s">
        <v>26</v>
      </c>
      <c r="H10" s="4" t="s">
        <v>21</v>
      </c>
      <c r="I10" s="44" t="s">
        <v>620</v>
      </c>
      <c r="J10" s="5" t="s">
        <v>117</v>
      </c>
      <c r="K10" s="36" t="s">
        <v>118</v>
      </c>
      <c r="L10" s="2"/>
      <c r="M10" s="2"/>
      <c r="N10" s="2"/>
      <c r="O10" s="2"/>
      <c r="P10" s="2"/>
      <c r="Q10" s="2"/>
      <c r="R10" s="2"/>
      <c r="S10" s="3"/>
      <c r="T10" s="2"/>
      <c r="U10" s="2"/>
      <c r="V10" s="2"/>
      <c r="W10" s="2"/>
      <c r="X10" s="2"/>
      <c r="Y10" s="2"/>
      <c r="Z10" s="2"/>
      <c r="AA10" s="2"/>
      <c r="AB10" s="2"/>
      <c r="AC10" s="2"/>
      <c r="AD10" s="2"/>
      <c r="AE10" s="2"/>
    </row>
    <row r="11" spans="1:31" ht="22.5" customHeight="1" x14ac:dyDescent="0.25">
      <c r="A11" s="8">
        <f t="shared" si="0"/>
        <v>10</v>
      </c>
      <c r="B11" s="24" t="s">
        <v>119</v>
      </c>
      <c r="C11" s="27">
        <v>40474</v>
      </c>
      <c r="D11" s="45">
        <f t="shared" ca="1" si="1"/>
        <v>15</v>
      </c>
      <c r="E11" s="4">
        <v>48</v>
      </c>
      <c r="F11" s="4" t="s">
        <v>25</v>
      </c>
      <c r="G11" s="4" t="s">
        <v>37</v>
      </c>
      <c r="H11" s="4" t="s">
        <v>21</v>
      </c>
      <c r="I11" s="44" t="s">
        <v>620</v>
      </c>
      <c r="J11" s="5" t="s">
        <v>117</v>
      </c>
      <c r="K11" s="36" t="s">
        <v>118</v>
      </c>
      <c r="L11" s="2"/>
      <c r="M11" s="2"/>
      <c r="N11" s="2"/>
      <c r="O11" s="2"/>
      <c r="P11" s="2"/>
      <c r="Q11" s="2"/>
      <c r="R11" s="2"/>
      <c r="S11" s="3"/>
      <c r="T11" s="2"/>
      <c r="U11" s="2"/>
      <c r="V11" s="2"/>
      <c r="W11" s="2"/>
      <c r="X11" s="2"/>
      <c r="Y11" s="2"/>
      <c r="Z11" s="2"/>
      <c r="AA11" s="2"/>
      <c r="AB11" s="2"/>
      <c r="AC11" s="2"/>
      <c r="AD11" s="2"/>
      <c r="AE11" s="2"/>
    </row>
    <row r="12" spans="1:31" ht="22.5" customHeight="1" x14ac:dyDescent="0.25">
      <c r="A12" s="8">
        <f t="shared" si="0"/>
        <v>11</v>
      </c>
      <c r="B12" s="24" t="s">
        <v>224</v>
      </c>
      <c r="C12" s="27">
        <v>40448</v>
      </c>
      <c r="D12" s="45">
        <f t="shared" ca="1" si="1"/>
        <v>15</v>
      </c>
      <c r="E12" s="4">
        <v>67</v>
      </c>
      <c r="F12" s="4" t="s">
        <v>19</v>
      </c>
      <c r="G12" s="4" t="s">
        <v>37</v>
      </c>
      <c r="H12" s="4" t="s">
        <v>21</v>
      </c>
      <c r="I12" s="44" t="s">
        <v>620</v>
      </c>
      <c r="J12" s="5" t="s">
        <v>117</v>
      </c>
      <c r="K12" s="36" t="s">
        <v>118</v>
      </c>
      <c r="L12" s="2"/>
      <c r="M12" s="2"/>
      <c r="N12" s="2"/>
      <c r="O12" s="2"/>
      <c r="P12" s="2"/>
      <c r="Q12" s="2"/>
      <c r="R12" s="2"/>
      <c r="S12" s="3"/>
      <c r="T12" s="2"/>
      <c r="U12" s="2"/>
      <c r="V12" s="2"/>
      <c r="W12" s="2"/>
      <c r="X12" s="2"/>
      <c r="Y12" s="2"/>
      <c r="Z12" s="2"/>
      <c r="AA12" s="2"/>
      <c r="AB12" s="2"/>
      <c r="AC12" s="2"/>
      <c r="AD12" s="2"/>
      <c r="AE12" s="2"/>
    </row>
    <row r="13" spans="1:31" ht="22.5" customHeight="1" x14ac:dyDescent="0.25">
      <c r="A13" s="8">
        <f t="shared" si="0"/>
        <v>12</v>
      </c>
      <c r="B13" s="24" t="s">
        <v>116</v>
      </c>
      <c r="C13" s="27">
        <v>39817</v>
      </c>
      <c r="D13" s="45">
        <f t="shared" ca="1" si="1"/>
        <v>17</v>
      </c>
      <c r="E13" s="4">
        <v>48</v>
      </c>
      <c r="F13" s="4" t="s">
        <v>19</v>
      </c>
      <c r="G13" s="4" t="s">
        <v>32</v>
      </c>
      <c r="H13" s="4" t="s">
        <v>21</v>
      </c>
      <c r="I13" s="44" t="s">
        <v>621</v>
      </c>
      <c r="J13" s="5" t="s">
        <v>117</v>
      </c>
      <c r="K13" s="36" t="s">
        <v>118</v>
      </c>
      <c r="L13" s="2"/>
      <c r="M13" s="2"/>
      <c r="N13" s="2"/>
      <c r="O13" s="2"/>
      <c r="P13" s="2"/>
      <c r="Q13" s="2"/>
      <c r="R13" s="2"/>
      <c r="S13" s="3"/>
      <c r="T13" s="2"/>
      <c r="U13" s="2"/>
      <c r="V13" s="2"/>
      <c r="W13" s="2"/>
      <c r="X13" s="2"/>
      <c r="Y13" s="2"/>
      <c r="Z13" s="2"/>
      <c r="AA13" s="2"/>
      <c r="AB13" s="2"/>
      <c r="AC13" s="2"/>
      <c r="AD13" s="2"/>
      <c r="AE13" s="2"/>
    </row>
    <row r="14" spans="1:31" ht="22.5" customHeight="1" x14ac:dyDescent="0.25">
      <c r="A14" s="8">
        <f t="shared" si="0"/>
        <v>13</v>
      </c>
      <c r="B14" s="24" t="s">
        <v>370</v>
      </c>
      <c r="C14" s="27">
        <v>39925</v>
      </c>
      <c r="D14" s="45">
        <f t="shared" ca="1" si="1"/>
        <v>16</v>
      </c>
      <c r="E14" s="4">
        <v>56</v>
      </c>
      <c r="F14" s="4" t="s">
        <v>19</v>
      </c>
      <c r="G14" s="4" t="s">
        <v>26</v>
      </c>
      <c r="H14" s="4" t="s">
        <v>21</v>
      </c>
      <c r="I14" s="44" t="s">
        <v>621</v>
      </c>
      <c r="J14" s="5" t="s">
        <v>117</v>
      </c>
      <c r="K14" s="36" t="s">
        <v>118</v>
      </c>
      <c r="L14" s="2"/>
      <c r="M14" s="2"/>
      <c r="N14" s="2"/>
      <c r="O14" s="2"/>
      <c r="P14" s="2"/>
      <c r="Q14" s="2"/>
      <c r="R14" s="2"/>
      <c r="S14" s="3"/>
      <c r="T14" s="2"/>
      <c r="U14" s="2"/>
      <c r="V14" s="2"/>
      <c r="W14" s="2"/>
      <c r="X14" s="2"/>
      <c r="Y14" s="2"/>
      <c r="Z14" s="2"/>
      <c r="AA14" s="2"/>
      <c r="AB14" s="2"/>
      <c r="AC14" s="2"/>
      <c r="AD14" s="2"/>
      <c r="AE14" s="2"/>
    </row>
    <row r="15" spans="1:31" ht="22.5" customHeight="1" x14ac:dyDescent="0.25">
      <c r="A15" s="8">
        <f t="shared" si="0"/>
        <v>14</v>
      </c>
      <c r="B15" s="24" t="s">
        <v>474</v>
      </c>
      <c r="C15" s="27">
        <v>38384</v>
      </c>
      <c r="D15" s="45">
        <f t="shared" ca="1" si="1"/>
        <v>21</v>
      </c>
      <c r="E15" s="4">
        <v>64</v>
      </c>
      <c r="F15" s="4" t="s">
        <v>25</v>
      </c>
      <c r="G15" s="4" t="s">
        <v>26</v>
      </c>
      <c r="H15" s="4" t="s">
        <v>21</v>
      </c>
      <c r="I15" s="44" t="s">
        <v>620</v>
      </c>
      <c r="J15" s="5" t="s">
        <v>117</v>
      </c>
      <c r="K15" s="36" t="s">
        <v>118</v>
      </c>
      <c r="L15" s="2"/>
      <c r="M15" s="2"/>
      <c r="N15" s="2"/>
      <c r="O15" s="2"/>
      <c r="P15" s="2"/>
      <c r="Q15" s="2"/>
      <c r="R15" s="2"/>
      <c r="S15" s="3"/>
      <c r="T15" s="2"/>
      <c r="U15" s="2"/>
      <c r="V15" s="2"/>
      <c r="W15" s="2"/>
      <c r="X15" s="2"/>
      <c r="Y15" s="2"/>
      <c r="Z15" s="2"/>
      <c r="AA15" s="2"/>
      <c r="AB15" s="2"/>
      <c r="AC15" s="2"/>
      <c r="AD15" s="2"/>
      <c r="AE15" s="2"/>
    </row>
    <row r="16" spans="1:31" ht="22.5" customHeight="1" x14ac:dyDescent="0.25">
      <c r="A16" s="8">
        <f t="shared" si="0"/>
        <v>15</v>
      </c>
      <c r="B16" s="24" t="s">
        <v>514</v>
      </c>
      <c r="C16" s="27">
        <v>36701</v>
      </c>
      <c r="D16" s="45">
        <f t="shared" ca="1" si="1"/>
        <v>25</v>
      </c>
      <c r="E16" s="4">
        <v>75</v>
      </c>
      <c r="F16" s="4" t="s">
        <v>25</v>
      </c>
      <c r="G16" s="4" t="s">
        <v>26</v>
      </c>
      <c r="H16" s="4" t="s">
        <v>21</v>
      </c>
      <c r="I16" s="44" t="s">
        <v>622</v>
      </c>
      <c r="J16" s="5" t="s">
        <v>117</v>
      </c>
      <c r="K16" s="36" t="s">
        <v>118</v>
      </c>
      <c r="L16" s="2"/>
      <c r="M16" s="2"/>
      <c r="N16" s="2"/>
      <c r="O16" s="2"/>
      <c r="P16" s="2"/>
      <c r="Q16" s="2"/>
      <c r="R16" s="2"/>
      <c r="S16" s="3"/>
      <c r="T16" s="2"/>
      <c r="U16" s="2"/>
      <c r="V16" s="2"/>
      <c r="W16" s="2"/>
      <c r="X16" s="2"/>
      <c r="Y16" s="2"/>
      <c r="Z16" s="2"/>
      <c r="AA16" s="2"/>
      <c r="AB16" s="2"/>
      <c r="AC16" s="2"/>
      <c r="AD16" s="2"/>
      <c r="AE16" s="2"/>
    </row>
    <row r="17" spans="1:31" ht="22.5" customHeight="1" x14ac:dyDescent="0.25">
      <c r="A17" s="8">
        <f t="shared" si="0"/>
        <v>16</v>
      </c>
      <c r="B17" s="24" t="s">
        <v>225</v>
      </c>
      <c r="C17" s="27">
        <v>38272</v>
      </c>
      <c r="D17" s="45">
        <f t="shared" ca="1" si="1"/>
        <v>21</v>
      </c>
      <c r="E17" s="4">
        <v>60</v>
      </c>
      <c r="F17" s="4" t="s">
        <v>19</v>
      </c>
      <c r="G17" s="4" t="s">
        <v>37</v>
      </c>
      <c r="H17" s="4" t="s">
        <v>21</v>
      </c>
      <c r="I17" s="44" t="s">
        <v>621</v>
      </c>
      <c r="J17" s="5" t="s">
        <v>117</v>
      </c>
      <c r="K17" s="36" t="s">
        <v>118</v>
      </c>
      <c r="L17" s="2"/>
      <c r="M17" s="2"/>
      <c r="N17" s="2"/>
      <c r="O17" s="2"/>
      <c r="P17" s="2"/>
      <c r="Q17" s="2"/>
      <c r="R17" s="2"/>
      <c r="S17" s="3"/>
      <c r="T17" s="2"/>
      <c r="U17" s="2"/>
      <c r="V17" s="2"/>
      <c r="W17" s="2"/>
      <c r="X17" s="2"/>
      <c r="Y17" s="2"/>
      <c r="Z17" s="2"/>
      <c r="AA17" s="2"/>
      <c r="AB17" s="2"/>
      <c r="AC17" s="2"/>
      <c r="AD17" s="2"/>
      <c r="AE17" s="2"/>
    </row>
    <row r="18" spans="1:31" ht="22.5" customHeight="1" x14ac:dyDescent="0.25">
      <c r="A18" s="8">
        <f t="shared" si="0"/>
        <v>17</v>
      </c>
      <c r="B18" s="24" t="s">
        <v>594</v>
      </c>
      <c r="C18" s="27">
        <v>38135</v>
      </c>
      <c r="D18" s="45">
        <f t="shared" ca="1" si="1"/>
        <v>21</v>
      </c>
      <c r="E18" s="4">
        <v>70</v>
      </c>
      <c r="F18" s="4" t="s">
        <v>19</v>
      </c>
      <c r="G18" s="4" t="s">
        <v>26</v>
      </c>
      <c r="H18" s="4" t="s">
        <v>21</v>
      </c>
      <c r="I18" s="44" t="s">
        <v>622</v>
      </c>
      <c r="J18" s="5" t="s">
        <v>117</v>
      </c>
      <c r="K18" s="36" t="s">
        <v>118</v>
      </c>
      <c r="L18" s="2"/>
      <c r="M18" s="2"/>
      <c r="N18" s="2"/>
      <c r="O18" s="2"/>
      <c r="P18" s="2"/>
      <c r="Q18" s="2"/>
      <c r="R18" s="2"/>
      <c r="S18" s="3"/>
      <c r="T18" s="2"/>
      <c r="U18" s="2"/>
      <c r="V18" s="2"/>
      <c r="W18" s="2"/>
      <c r="X18" s="2"/>
      <c r="Y18" s="2"/>
      <c r="Z18" s="2"/>
      <c r="AA18" s="2"/>
      <c r="AB18" s="2"/>
      <c r="AC18" s="2"/>
      <c r="AD18" s="2"/>
      <c r="AE18" s="2"/>
    </row>
    <row r="19" spans="1:31" ht="22.5" customHeight="1" x14ac:dyDescent="0.25">
      <c r="A19" s="8">
        <f t="shared" si="0"/>
        <v>18</v>
      </c>
      <c r="B19" s="24" t="s">
        <v>487</v>
      </c>
      <c r="C19" s="27">
        <v>35678</v>
      </c>
      <c r="D19" s="45">
        <f t="shared" ca="1" si="1"/>
        <v>28</v>
      </c>
      <c r="E19" s="4">
        <v>63</v>
      </c>
      <c r="F19" s="4" t="s">
        <v>25</v>
      </c>
      <c r="G19" s="4" t="s">
        <v>26</v>
      </c>
      <c r="H19" s="4" t="s">
        <v>45</v>
      </c>
      <c r="I19" s="44" t="s">
        <v>622</v>
      </c>
      <c r="J19" s="5" t="s">
        <v>117</v>
      </c>
      <c r="K19" s="36" t="s">
        <v>118</v>
      </c>
      <c r="L19" s="2"/>
      <c r="M19" s="2"/>
      <c r="N19" s="2"/>
      <c r="O19" s="2"/>
      <c r="P19" s="2"/>
      <c r="Q19" s="2"/>
      <c r="R19" s="2"/>
      <c r="S19" s="3"/>
      <c r="T19" s="2"/>
      <c r="U19" s="2"/>
      <c r="V19" s="2"/>
      <c r="W19" s="2"/>
      <c r="X19" s="2"/>
      <c r="Y19" s="2"/>
      <c r="Z19" s="2"/>
      <c r="AA19" s="2"/>
      <c r="AB19" s="2"/>
      <c r="AC19" s="2"/>
      <c r="AD19" s="2"/>
      <c r="AE19" s="2"/>
    </row>
    <row r="20" spans="1:31" ht="22.5" customHeight="1" x14ac:dyDescent="0.25">
      <c r="A20" s="8">
        <f t="shared" si="0"/>
        <v>19</v>
      </c>
      <c r="B20" s="24" t="s">
        <v>298</v>
      </c>
      <c r="C20" s="27">
        <v>40402</v>
      </c>
      <c r="D20" s="45">
        <f t="shared" ca="1" si="1"/>
        <v>15</v>
      </c>
      <c r="E20" s="4">
        <v>57</v>
      </c>
      <c r="F20" s="4" t="s">
        <v>25</v>
      </c>
      <c r="G20" s="4" t="s">
        <v>26</v>
      </c>
      <c r="H20" s="4" t="s">
        <v>21</v>
      </c>
      <c r="I20" s="44" t="s">
        <v>620</v>
      </c>
      <c r="J20" s="5" t="s">
        <v>117</v>
      </c>
      <c r="K20" s="36" t="s">
        <v>299</v>
      </c>
      <c r="L20" s="2"/>
      <c r="M20" s="2"/>
      <c r="N20" s="2"/>
      <c r="O20" s="2"/>
      <c r="P20" s="2"/>
      <c r="Q20" s="2"/>
      <c r="R20" s="2"/>
      <c r="S20" s="3"/>
      <c r="T20" s="2"/>
      <c r="U20" s="2"/>
      <c r="V20" s="2"/>
      <c r="W20" s="2"/>
      <c r="X20" s="2"/>
      <c r="Y20" s="2"/>
      <c r="Z20" s="2"/>
      <c r="AA20" s="2"/>
      <c r="AB20" s="2"/>
      <c r="AC20" s="2"/>
      <c r="AD20" s="2"/>
      <c r="AE20" s="2"/>
    </row>
    <row r="21" spans="1:31" ht="22.5" customHeight="1" x14ac:dyDescent="0.25">
      <c r="A21" s="8">
        <f t="shared" si="0"/>
        <v>20</v>
      </c>
      <c r="B21" s="24" t="s">
        <v>420</v>
      </c>
      <c r="C21" s="27">
        <v>40702</v>
      </c>
      <c r="D21" s="45">
        <f t="shared" ca="1" si="1"/>
        <v>14</v>
      </c>
      <c r="E21" s="4">
        <v>60</v>
      </c>
      <c r="F21" s="4" t="s">
        <v>19</v>
      </c>
      <c r="G21" s="4" t="s">
        <v>37</v>
      </c>
      <c r="H21" s="4" t="s">
        <v>21</v>
      </c>
      <c r="I21" s="44" t="s">
        <v>620</v>
      </c>
      <c r="J21" s="5" t="s">
        <v>117</v>
      </c>
      <c r="K21" s="36" t="s">
        <v>299</v>
      </c>
      <c r="L21" s="2"/>
      <c r="M21" s="2"/>
      <c r="N21" s="2"/>
      <c r="O21" s="2"/>
      <c r="P21" s="2"/>
      <c r="Q21" s="2"/>
      <c r="R21" s="2"/>
      <c r="S21" s="3"/>
      <c r="T21" s="2"/>
      <c r="U21" s="2"/>
      <c r="V21" s="2"/>
      <c r="W21" s="2"/>
      <c r="X21" s="2"/>
      <c r="Y21" s="2"/>
      <c r="Z21" s="2"/>
      <c r="AA21" s="2"/>
      <c r="AB21" s="2"/>
      <c r="AC21" s="2"/>
      <c r="AD21" s="2"/>
      <c r="AE21" s="2"/>
    </row>
    <row r="22" spans="1:31" ht="22.5" customHeight="1" x14ac:dyDescent="0.25">
      <c r="A22" s="8">
        <f t="shared" si="0"/>
        <v>21</v>
      </c>
      <c r="B22" s="24" t="s">
        <v>309</v>
      </c>
      <c r="C22" s="27">
        <v>39360</v>
      </c>
      <c r="D22" s="45">
        <f t="shared" ca="1" si="1"/>
        <v>18</v>
      </c>
      <c r="E22" s="4">
        <v>67</v>
      </c>
      <c r="F22" s="4" t="s">
        <v>25</v>
      </c>
      <c r="G22" s="4" t="s">
        <v>37</v>
      </c>
      <c r="H22" s="4" t="s">
        <v>21</v>
      </c>
      <c r="I22" s="44" t="s">
        <v>621</v>
      </c>
      <c r="J22" s="5" t="s">
        <v>117</v>
      </c>
      <c r="K22" s="36" t="s">
        <v>299</v>
      </c>
      <c r="L22" s="2"/>
      <c r="M22" s="2"/>
      <c r="N22" s="2"/>
      <c r="O22" s="2"/>
      <c r="P22" s="2"/>
      <c r="Q22" s="2"/>
      <c r="R22" s="2"/>
      <c r="S22" s="3"/>
      <c r="T22" s="2"/>
      <c r="U22" s="2"/>
      <c r="V22" s="2"/>
      <c r="W22" s="2"/>
      <c r="X22" s="2"/>
      <c r="Y22" s="2"/>
      <c r="Z22" s="2"/>
      <c r="AA22" s="2"/>
      <c r="AB22" s="2"/>
      <c r="AC22" s="2"/>
      <c r="AD22" s="2"/>
      <c r="AE22" s="2"/>
    </row>
    <row r="23" spans="1:31" ht="22.5" customHeight="1" x14ac:dyDescent="0.25">
      <c r="A23" s="8">
        <f t="shared" si="0"/>
        <v>22</v>
      </c>
      <c r="B23" s="24" t="s">
        <v>169</v>
      </c>
      <c r="C23" s="27">
        <v>44219</v>
      </c>
      <c r="D23" s="45">
        <f t="shared" ca="1" si="1"/>
        <v>5</v>
      </c>
      <c r="E23" s="4">
        <v>15</v>
      </c>
      <c r="F23" s="4" t="s">
        <v>25</v>
      </c>
      <c r="G23" s="4" t="s">
        <v>50</v>
      </c>
      <c r="H23" s="4" t="s">
        <v>21</v>
      </c>
      <c r="I23" s="44" t="s">
        <v>621</v>
      </c>
      <c r="J23" s="5" t="s">
        <v>121</v>
      </c>
      <c r="K23" s="36" t="s">
        <v>122</v>
      </c>
      <c r="L23" s="2"/>
      <c r="M23" s="2"/>
      <c r="N23" s="2"/>
      <c r="O23" s="2"/>
      <c r="P23" s="2"/>
      <c r="Q23" s="2"/>
      <c r="R23" s="2"/>
      <c r="S23" s="3"/>
      <c r="T23" s="2"/>
      <c r="U23" s="2"/>
      <c r="V23" s="2"/>
      <c r="W23" s="2"/>
      <c r="X23" s="2"/>
      <c r="Y23" s="2"/>
      <c r="Z23" s="2"/>
      <c r="AA23" s="2"/>
      <c r="AB23" s="2"/>
      <c r="AC23" s="2"/>
      <c r="AD23" s="2"/>
      <c r="AE23" s="2"/>
    </row>
    <row r="24" spans="1:31" ht="22.5" customHeight="1" x14ac:dyDescent="0.25">
      <c r="A24" s="8">
        <f t="shared" si="0"/>
        <v>23</v>
      </c>
      <c r="B24" s="24" t="s">
        <v>157</v>
      </c>
      <c r="C24" s="27">
        <v>43919</v>
      </c>
      <c r="D24" s="45">
        <f t="shared" ca="1" si="1"/>
        <v>5</v>
      </c>
      <c r="E24" s="4">
        <v>20</v>
      </c>
      <c r="F24" s="4" t="s">
        <v>19</v>
      </c>
      <c r="G24" s="4" t="s">
        <v>28</v>
      </c>
      <c r="H24" s="4" t="s">
        <v>21</v>
      </c>
      <c r="I24" s="44" t="s">
        <v>620</v>
      </c>
      <c r="J24" s="5" t="s">
        <v>121</v>
      </c>
      <c r="K24" s="36" t="s">
        <v>122</v>
      </c>
      <c r="L24" s="2"/>
      <c r="M24" s="2"/>
      <c r="N24" s="2"/>
      <c r="O24" s="2"/>
      <c r="P24" s="2"/>
      <c r="Q24" s="2"/>
      <c r="R24" s="2"/>
      <c r="S24" s="3"/>
      <c r="T24" s="2"/>
      <c r="U24" s="2"/>
      <c r="V24" s="2"/>
      <c r="W24" s="2"/>
      <c r="X24" s="2"/>
      <c r="Y24" s="2"/>
      <c r="Z24" s="2"/>
      <c r="AA24" s="2"/>
      <c r="AB24" s="2"/>
      <c r="AC24" s="2"/>
      <c r="AD24" s="2"/>
      <c r="AE24" s="2"/>
    </row>
    <row r="25" spans="1:31" ht="22.5" customHeight="1" x14ac:dyDescent="0.25">
      <c r="A25" s="8">
        <f t="shared" si="0"/>
        <v>24</v>
      </c>
      <c r="B25" s="24" t="s">
        <v>123</v>
      </c>
      <c r="C25" s="27">
        <v>43528</v>
      </c>
      <c r="D25" s="45">
        <f t="shared" ca="1" si="1"/>
        <v>7</v>
      </c>
      <c r="E25" s="4">
        <v>17</v>
      </c>
      <c r="F25" s="4" t="s">
        <v>25</v>
      </c>
      <c r="G25" s="4" t="s">
        <v>28</v>
      </c>
      <c r="H25" s="4" t="s">
        <v>21</v>
      </c>
      <c r="I25" s="44" t="s">
        <v>622</v>
      </c>
      <c r="J25" s="5" t="s">
        <v>121</v>
      </c>
      <c r="K25" s="36" t="s">
        <v>122</v>
      </c>
      <c r="L25" s="2"/>
      <c r="M25" s="2"/>
      <c r="N25" s="2"/>
      <c r="O25" s="2"/>
      <c r="P25" s="2"/>
      <c r="Q25" s="2"/>
      <c r="R25" s="2"/>
      <c r="S25" s="3"/>
      <c r="T25" s="2"/>
      <c r="U25" s="2"/>
      <c r="V25" s="2"/>
      <c r="W25" s="2"/>
      <c r="X25" s="2"/>
      <c r="Y25" s="2"/>
      <c r="Z25" s="2"/>
      <c r="AA25" s="2"/>
      <c r="AB25" s="2"/>
      <c r="AC25" s="2"/>
      <c r="AD25" s="2"/>
      <c r="AE25" s="2"/>
    </row>
    <row r="26" spans="1:31" ht="22.5" customHeight="1" x14ac:dyDescent="0.25">
      <c r="A26" s="8">
        <f t="shared" si="0"/>
        <v>25</v>
      </c>
      <c r="B26" s="24" t="s">
        <v>590</v>
      </c>
      <c r="C26" s="27">
        <v>43814</v>
      </c>
      <c r="D26" s="45">
        <f t="shared" ca="1" si="1"/>
        <v>6</v>
      </c>
      <c r="E26" s="4">
        <v>19</v>
      </c>
      <c r="F26" s="18" t="s">
        <v>25</v>
      </c>
      <c r="G26" s="18" t="s">
        <v>28</v>
      </c>
      <c r="H26" s="18" t="s">
        <v>21</v>
      </c>
      <c r="I26" s="44" t="s">
        <v>621</v>
      </c>
      <c r="J26" s="19" t="s">
        <v>121</v>
      </c>
      <c r="K26" s="37" t="s">
        <v>122</v>
      </c>
      <c r="L26" s="2"/>
      <c r="M26" s="2"/>
      <c r="N26" s="2"/>
      <c r="O26" s="2"/>
      <c r="P26" s="2"/>
      <c r="Q26" s="2"/>
      <c r="R26" s="2"/>
      <c r="S26" s="3"/>
      <c r="T26" s="2"/>
      <c r="U26" s="2"/>
      <c r="V26" s="2"/>
      <c r="W26" s="2"/>
      <c r="X26" s="2"/>
      <c r="Y26" s="2"/>
      <c r="Z26" s="2"/>
      <c r="AA26" s="2"/>
      <c r="AB26" s="2"/>
      <c r="AC26" s="2"/>
      <c r="AD26" s="2"/>
      <c r="AE26" s="2"/>
    </row>
    <row r="27" spans="1:31" ht="22.5" customHeight="1" x14ac:dyDescent="0.25">
      <c r="A27" s="8">
        <f t="shared" si="0"/>
        <v>26</v>
      </c>
      <c r="B27" s="24" t="s">
        <v>202</v>
      </c>
      <c r="C27" s="27">
        <v>43454</v>
      </c>
      <c r="D27" s="45">
        <f t="shared" ca="1" si="1"/>
        <v>7</v>
      </c>
      <c r="E27" s="4">
        <v>18</v>
      </c>
      <c r="F27" s="4" t="s">
        <v>25</v>
      </c>
      <c r="G27" s="4" t="s">
        <v>39</v>
      </c>
      <c r="H27" s="4" t="s">
        <v>21</v>
      </c>
      <c r="I27" s="44" t="s">
        <v>622</v>
      </c>
      <c r="J27" s="5" t="s">
        <v>121</v>
      </c>
      <c r="K27" s="38" t="s">
        <v>122</v>
      </c>
      <c r="L27" s="2"/>
      <c r="M27" s="2"/>
      <c r="N27" s="2"/>
      <c r="O27" s="2"/>
      <c r="P27" s="2"/>
      <c r="Q27" s="2"/>
      <c r="R27" s="2"/>
      <c r="S27" s="3"/>
      <c r="T27" s="2"/>
      <c r="U27" s="2"/>
      <c r="V27" s="2"/>
      <c r="W27" s="2"/>
      <c r="X27" s="2"/>
      <c r="Y27" s="2"/>
      <c r="Z27" s="2"/>
      <c r="AA27" s="2"/>
      <c r="AB27" s="2"/>
      <c r="AC27" s="2"/>
      <c r="AD27" s="2"/>
      <c r="AE27" s="2"/>
    </row>
    <row r="28" spans="1:31" ht="22.5" customHeight="1" x14ac:dyDescent="0.25">
      <c r="A28" s="8">
        <f t="shared" si="0"/>
        <v>27</v>
      </c>
      <c r="B28" s="24" t="s">
        <v>589</v>
      </c>
      <c r="C28" s="27">
        <v>43238</v>
      </c>
      <c r="D28" s="45">
        <f t="shared" ca="1" si="1"/>
        <v>7</v>
      </c>
      <c r="E28" s="4">
        <v>21</v>
      </c>
      <c r="F28" s="18" t="s">
        <v>25</v>
      </c>
      <c r="G28" s="18" t="s">
        <v>42</v>
      </c>
      <c r="H28" s="18" t="s">
        <v>21</v>
      </c>
      <c r="I28" s="44" t="s">
        <v>622</v>
      </c>
      <c r="J28" s="19" t="s">
        <v>383</v>
      </c>
      <c r="K28" s="37" t="s">
        <v>122</v>
      </c>
      <c r="L28" s="2"/>
      <c r="M28" s="2"/>
      <c r="N28" s="2"/>
      <c r="O28" s="2"/>
      <c r="P28" s="2"/>
      <c r="Q28" s="2"/>
      <c r="R28" s="2"/>
      <c r="S28" s="3"/>
      <c r="T28" s="2"/>
      <c r="U28" s="2"/>
      <c r="V28" s="2"/>
      <c r="W28" s="2"/>
      <c r="X28" s="2"/>
      <c r="Y28" s="2"/>
      <c r="Z28" s="2"/>
      <c r="AA28" s="2"/>
      <c r="AB28" s="2"/>
      <c r="AC28" s="2"/>
      <c r="AD28" s="2"/>
      <c r="AE28" s="2"/>
    </row>
    <row r="29" spans="1:31" ht="22.5" customHeight="1" x14ac:dyDescent="0.25">
      <c r="A29" s="8">
        <f t="shared" si="0"/>
        <v>28</v>
      </c>
      <c r="B29" s="24" t="s">
        <v>120</v>
      </c>
      <c r="C29" s="27">
        <v>43434</v>
      </c>
      <c r="D29" s="45">
        <f t="shared" ca="1" si="1"/>
        <v>7</v>
      </c>
      <c r="E29" s="4">
        <v>18</v>
      </c>
      <c r="F29" s="4" t="s">
        <v>19</v>
      </c>
      <c r="G29" s="4" t="s">
        <v>28</v>
      </c>
      <c r="H29" s="4" t="s">
        <v>21</v>
      </c>
      <c r="I29" s="44" t="s">
        <v>620</v>
      </c>
      <c r="J29" s="5" t="s">
        <v>121</v>
      </c>
      <c r="K29" s="36" t="s">
        <v>122</v>
      </c>
      <c r="L29" s="2"/>
      <c r="M29" s="2"/>
      <c r="N29" s="2"/>
      <c r="O29" s="2"/>
      <c r="P29" s="2"/>
      <c r="Q29" s="2"/>
      <c r="R29" s="2"/>
      <c r="S29" s="3"/>
      <c r="T29" s="2"/>
      <c r="U29" s="2"/>
      <c r="V29" s="2"/>
      <c r="W29" s="2"/>
      <c r="X29" s="2"/>
      <c r="Y29" s="2"/>
      <c r="Z29" s="2"/>
      <c r="AA29" s="2"/>
      <c r="AB29" s="2"/>
      <c r="AC29" s="2"/>
      <c r="AD29" s="2"/>
      <c r="AE29" s="2"/>
    </row>
    <row r="30" spans="1:31" ht="22.5" customHeight="1" x14ac:dyDescent="0.25">
      <c r="A30" s="8">
        <f t="shared" si="0"/>
        <v>29</v>
      </c>
      <c r="B30" s="24" t="s">
        <v>214</v>
      </c>
      <c r="C30" s="27">
        <v>43452</v>
      </c>
      <c r="D30" s="45">
        <f t="shared" ca="1" si="1"/>
        <v>7</v>
      </c>
      <c r="E30" s="4">
        <v>15</v>
      </c>
      <c r="F30" s="4" t="s">
        <v>19</v>
      </c>
      <c r="G30" s="4" t="s">
        <v>50</v>
      </c>
      <c r="H30" s="4" t="s">
        <v>51</v>
      </c>
      <c r="I30" s="44" t="s">
        <v>620</v>
      </c>
      <c r="J30" s="5" t="s">
        <v>121</v>
      </c>
      <c r="K30" s="36" t="s">
        <v>122</v>
      </c>
      <c r="L30" s="2"/>
      <c r="M30" s="2"/>
      <c r="N30" s="2"/>
      <c r="O30" s="2"/>
      <c r="P30" s="2"/>
      <c r="Q30" s="2"/>
      <c r="R30" s="2"/>
      <c r="S30" s="3"/>
      <c r="T30" s="2"/>
      <c r="U30" s="2"/>
      <c r="V30" s="2"/>
      <c r="W30" s="2"/>
      <c r="X30" s="2"/>
      <c r="Y30" s="2"/>
      <c r="Z30" s="2"/>
      <c r="AA30" s="2"/>
      <c r="AB30" s="2"/>
      <c r="AC30" s="2"/>
      <c r="AD30" s="2"/>
      <c r="AE30" s="2"/>
    </row>
    <row r="31" spans="1:31" ht="22.5" customHeight="1" x14ac:dyDescent="0.25">
      <c r="A31" s="8">
        <f t="shared" si="0"/>
        <v>30</v>
      </c>
      <c r="B31" s="24" t="s">
        <v>399</v>
      </c>
      <c r="C31" s="27">
        <v>42834</v>
      </c>
      <c r="D31" s="45">
        <f t="shared" ca="1" si="1"/>
        <v>8</v>
      </c>
      <c r="E31" s="4">
        <v>24</v>
      </c>
      <c r="F31" s="4" t="s">
        <v>25</v>
      </c>
      <c r="G31" s="4" t="s">
        <v>61</v>
      </c>
      <c r="H31" s="4" t="s">
        <v>21</v>
      </c>
      <c r="I31" s="44" t="s">
        <v>621</v>
      </c>
      <c r="J31" s="5" t="s">
        <v>383</v>
      </c>
      <c r="K31" s="36" t="s">
        <v>122</v>
      </c>
      <c r="L31" s="2"/>
      <c r="M31" s="2"/>
      <c r="N31" s="2"/>
      <c r="O31" s="2"/>
      <c r="P31" s="2"/>
      <c r="Q31" s="2"/>
      <c r="R31" s="2"/>
      <c r="S31" s="3"/>
      <c r="T31" s="2"/>
      <c r="U31" s="2"/>
      <c r="V31" s="2"/>
      <c r="W31" s="2"/>
      <c r="X31" s="2"/>
      <c r="Y31" s="2"/>
      <c r="Z31" s="2"/>
      <c r="AA31" s="2"/>
      <c r="AB31" s="2"/>
      <c r="AC31" s="2"/>
      <c r="AD31" s="2"/>
      <c r="AE31" s="2"/>
    </row>
    <row r="32" spans="1:31" ht="22.5" customHeight="1" x14ac:dyDescent="0.25">
      <c r="A32" s="8">
        <f t="shared" si="0"/>
        <v>31</v>
      </c>
      <c r="B32" s="24" t="s">
        <v>404</v>
      </c>
      <c r="C32" s="27">
        <v>42925</v>
      </c>
      <c r="D32" s="45">
        <f t="shared" ca="1" si="1"/>
        <v>8</v>
      </c>
      <c r="E32" s="4">
        <v>28</v>
      </c>
      <c r="F32" s="4" t="s">
        <v>25</v>
      </c>
      <c r="G32" s="4" t="s">
        <v>39</v>
      </c>
      <c r="H32" s="4" t="s">
        <v>51</v>
      </c>
      <c r="I32" s="44" t="s">
        <v>621</v>
      </c>
      <c r="J32" s="5" t="s">
        <v>383</v>
      </c>
      <c r="K32" s="36" t="s">
        <v>122</v>
      </c>
      <c r="L32" s="2"/>
      <c r="M32" s="2"/>
      <c r="N32" s="2"/>
      <c r="O32" s="2"/>
      <c r="P32" s="2"/>
      <c r="Q32" s="2"/>
      <c r="R32" s="2"/>
      <c r="S32" s="3"/>
      <c r="T32" s="2"/>
      <c r="U32" s="2"/>
      <c r="V32" s="2"/>
      <c r="W32" s="2"/>
      <c r="X32" s="2"/>
      <c r="Y32" s="2"/>
      <c r="Z32" s="2"/>
      <c r="AA32" s="2"/>
      <c r="AB32" s="2"/>
      <c r="AC32" s="2"/>
      <c r="AD32" s="2"/>
      <c r="AE32" s="2"/>
    </row>
    <row r="33" spans="1:31" ht="22.5" customHeight="1" x14ac:dyDescent="0.25">
      <c r="A33" s="8">
        <f t="shared" si="0"/>
        <v>32</v>
      </c>
      <c r="B33" s="24" t="s">
        <v>127</v>
      </c>
      <c r="C33" s="27">
        <v>43064</v>
      </c>
      <c r="D33" s="45">
        <f t="shared" ca="1" si="1"/>
        <v>8</v>
      </c>
      <c r="E33" s="4">
        <v>20</v>
      </c>
      <c r="F33" s="4" t="s">
        <v>19</v>
      </c>
      <c r="G33" s="4" t="s">
        <v>28</v>
      </c>
      <c r="H33" s="4" t="s">
        <v>51</v>
      </c>
      <c r="I33" s="44" t="s">
        <v>620</v>
      </c>
      <c r="J33" s="5" t="s">
        <v>121</v>
      </c>
      <c r="K33" s="36" t="s">
        <v>122</v>
      </c>
      <c r="L33" s="2"/>
      <c r="M33" s="2"/>
      <c r="N33" s="2"/>
      <c r="O33" s="2"/>
      <c r="P33" s="2"/>
      <c r="Q33" s="2"/>
      <c r="R33" s="2"/>
      <c r="S33" s="3"/>
      <c r="T33" s="2"/>
      <c r="U33" s="2"/>
      <c r="V33" s="2"/>
      <c r="W33" s="2"/>
      <c r="X33" s="2"/>
      <c r="Y33" s="2"/>
      <c r="Z33" s="2"/>
      <c r="AA33" s="2"/>
      <c r="AB33" s="2"/>
      <c r="AC33" s="2"/>
      <c r="AD33" s="2"/>
      <c r="AE33" s="2"/>
    </row>
    <row r="34" spans="1:31" ht="22.5" customHeight="1" x14ac:dyDescent="0.25">
      <c r="A34" s="8">
        <f t="shared" si="0"/>
        <v>33</v>
      </c>
      <c r="B34" s="24" t="s">
        <v>396</v>
      </c>
      <c r="C34" s="27">
        <v>42764</v>
      </c>
      <c r="D34" s="45">
        <f t="shared" ca="1" si="1"/>
        <v>9</v>
      </c>
      <c r="E34" s="4">
        <v>28</v>
      </c>
      <c r="F34" s="4" t="s">
        <v>19</v>
      </c>
      <c r="G34" s="4" t="s">
        <v>39</v>
      </c>
      <c r="H34" s="4" t="s">
        <v>51</v>
      </c>
      <c r="I34" s="44" t="s">
        <v>622</v>
      </c>
      <c r="J34" s="5" t="s">
        <v>383</v>
      </c>
      <c r="K34" s="36" t="s">
        <v>122</v>
      </c>
      <c r="L34" s="2"/>
      <c r="M34" s="2"/>
      <c r="N34" s="2"/>
      <c r="O34" s="2"/>
      <c r="P34" s="2"/>
      <c r="Q34" s="2"/>
      <c r="R34" s="2"/>
      <c r="S34" s="3"/>
      <c r="T34" s="2"/>
      <c r="U34" s="2"/>
      <c r="V34" s="2"/>
      <c r="W34" s="2"/>
      <c r="X34" s="2"/>
      <c r="Y34" s="2"/>
      <c r="Z34" s="2"/>
      <c r="AA34" s="2"/>
      <c r="AB34" s="2"/>
      <c r="AC34" s="2"/>
      <c r="AD34" s="2"/>
      <c r="AE34" s="2"/>
    </row>
    <row r="35" spans="1:31" ht="22.5" customHeight="1" x14ac:dyDescent="0.25">
      <c r="A35" s="8">
        <f t="shared" si="0"/>
        <v>34</v>
      </c>
      <c r="B35" s="24" t="s">
        <v>395</v>
      </c>
      <c r="C35" s="27">
        <v>42765</v>
      </c>
      <c r="D35" s="45">
        <f t="shared" ca="1" si="1"/>
        <v>9</v>
      </c>
      <c r="E35" s="4">
        <v>31</v>
      </c>
      <c r="F35" s="4" t="s">
        <v>19</v>
      </c>
      <c r="G35" s="4" t="s">
        <v>39</v>
      </c>
      <c r="H35" s="4" t="s">
        <v>51</v>
      </c>
      <c r="I35" s="44" t="s">
        <v>621</v>
      </c>
      <c r="J35" s="5" t="s">
        <v>383</v>
      </c>
      <c r="K35" s="36" t="s">
        <v>122</v>
      </c>
      <c r="L35" s="2"/>
      <c r="M35" s="2"/>
      <c r="N35" s="2"/>
      <c r="O35" s="2"/>
      <c r="P35" s="2"/>
      <c r="Q35" s="2"/>
      <c r="R35" s="2"/>
      <c r="S35" s="3"/>
      <c r="T35" s="2"/>
      <c r="U35" s="2"/>
      <c r="V35" s="2"/>
      <c r="W35" s="2"/>
      <c r="X35" s="2"/>
      <c r="Y35" s="2"/>
      <c r="Z35" s="2"/>
      <c r="AA35" s="2"/>
      <c r="AB35" s="2"/>
      <c r="AC35" s="2"/>
      <c r="AD35" s="2"/>
      <c r="AE35" s="2"/>
    </row>
    <row r="36" spans="1:31" ht="22.5" customHeight="1" x14ac:dyDescent="0.25">
      <c r="A36" s="8">
        <f t="shared" si="0"/>
        <v>35</v>
      </c>
      <c r="B36" s="24" t="s">
        <v>591</v>
      </c>
      <c r="C36" s="27">
        <v>42415</v>
      </c>
      <c r="D36" s="45">
        <f t="shared" ca="1" si="1"/>
        <v>10</v>
      </c>
      <c r="E36" s="4">
        <v>25</v>
      </c>
      <c r="F36" s="18" t="s">
        <v>25</v>
      </c>
      <c r="G36" s="18" t="s">
        <v>42</v>
      </c>
      <c r="H36" s="18" t="s">
        <v>21</v>
      </c>
      <c r="I36" s="44" t="s">
        <v>622</v>
      </c>
      <c r="J36" s="19" t="s">
        <v>121</v>
      </c>
      <c r="K36" s="37" t="s">
        <v>122</v>
      </c>
      <c r="L36" s="2"/>
      <c r="M36" s="2"/>
      <c r="N36" s="2"/>
      <c r="O36" s="2"/>
      <c r="P36" s="2"/>
      <c r="Q36" s="2"/>
      <c r="R36" s="2"/>
      <c r="S36" s="3"/>
      <c r="T36" s="2"/>
      <c r="U36" s="2"/>
      <c r="V36" s="2"/>
      <c r="W36" s="2"/>
      <c r="X36" s="2"/>
      <c r="Y36" s="2"/>
      <c r="Z36" s="2"/>
      <c r="AA36" s="2"/>
      <c r="AB36" s="2"/>
      <c r="AC36" s="2"/>
      <c r="AD36" s="2"/>
      <c r="AE36" s="2"/>
    </row>
    <row r="37" spans="1:31" ht="22.5" customHeight="1" x14ac:dyDescent="0.25">
      <c r="A37" s="8">
        <f t="shared" si="0"/>
        <v>36</v>
      </c>
      <c r="B37" s="24" t="s">
        <v>124</v>
      </c>
      <c r="C37" s="27">
        <v>42470</v>
      </c>
      <c r="D37" s="45">
        <f t="shared" ca="1" si="1"/>
        <v>9</v>
      </c>
      <c r="E37" s="4">
        <v>28</v>
      </c>
      <c r="F37" s="4" t="s">
        <v>25</v>
      </c>
      <c r="G37" s="4" t="s">
        <v>34</v>
      </c>
      <c r="H37" s="4" t="s">
        <v>21</v>
      </c>
      <c r="I37" s="44" t="s">
        <v>622</v>
      </c>
      <c r="J37" s="5" t="s">
        <v>121</v>
      </c>
      <c r="K37" s="36" t="s">
        <v>122</v>
      </c>
      <c r="L37" s="2"/>
      <c r="M37" s="2"/>
      <c r="N37" s="2"/>
      <c r="O37" s="2"/>
      <c r="P37" s="2"/>
      <c r="Q37" s="2"/>
      <c r="R37" s="2"/>
      <c r="S37" s="3"/>
      <c r="T37" s="2"/>
      <c r="U37" s="2"/>
      <c r="V37" s="2"/>
      <c r="W37" s="2"/>
      <c r="X37" s="2"/>
      <c r="Y37" s="2"/>
      <c r="Z37" s="2"/>
      <c r="AA37" s="2"/>
      <c r="AB37" s="2"/>
      <c r="AC37" s="2"/>
      <c r="AD37" s="2"/>
      <c r="AE37" s="2"/>
    </row>
    <row r="38" spans="1:31" ht="22.5" customHeight="1" x14ac:dyDescent="0.25">
      <c r="A38" s="8">
        <f t="shared" si="0"/>
        <v>37</v>
      </c>
      <c r="B38" s="24" t="s">
        <v>405</v>
      </c>
      <c r="C38" s="27">
        <v>42399</v>
      </c>
      <c r="D38" s="45">
        <f t="shared" ca="1" si="1"/>
        <v>10</v>
      </c>
      <c r="E38" s="4">
        <v>38</v>
      </c>
      <c r="F38" s="4" t="s">
        <v>25</v>
      </c>
      <c r="G38" s="4" t="s">
        <v>86</v>
      </c>
      <c r="H38" s="4" t="s">
        <v>21</v>
      </c>
      <c r="I38" s="44" t="s">
        <v>620</v>
      </c>
      <c r="J38" s="5" t="s">
        <v>383</v>
      </c>
      <c r="K38" s="36" t="s">
        <v>122</v>
      </c>
      <c r="L38" s="2"/>
      <c r="M38" s="2"/>
      <c r="N38" s="2"/>
      <c r="O38" s="2"/>
      <c r="P38" s="2"/>
      <c r="Q38" s="2"/>
      <c r="R38" s="2"/>
      <c r="S38" s="3"/>
      <c r="T38" s="2"/>
      <c r="U38" s="2"/>
      <c r="V38" s="2"/>
      <c r="W38" s="2"/>
      <c r="X38" s="2"/>
      <c r="Y38" s="2"/>
      <c r="Z38" s="2"/>
      <c r="AA38" s="2"/>
      <c r="AB38" s="2"/>
      <c r="AC38" s="2"/>
      <c r="AD38" s="2"/>
      <c r="AE38" s="2"/>
    </row>
    <row r="39" spans="1:31" ht="22.5" customHeight="1" x14ac:dyDescent="0.25">
      <c r="A39" s="8">
        <f t="shared" si="0"/>
        <v>38</v>
      </c>
      <c r="B39" s="24" t="s">
        <v>230</v>
      </c>
      <c r="C39" s="27">
        <v>42728</v>
      </c>
      <c r="D39" s="45">
        <f t="shared" ca="1" si="1"/>
        <v>9</v>
      </c>
      <c r="E39" s="4">
        <v>27</v>
      </c>
      <c r="F39" s="4" t="s">
        <v>19</v>
      </c>
      <c r="G39" s="4" t="s">
        <v>28</v>
      </c>
      <c r="H39" s="4" t="s">
        <v>21</v>
      </c>
      <c r="I39" s="44" t="s">
        <v>620</v>
      </c>
      <c r="J39" s="5" t="s">
        <v>121</v>
      </c>
      <c r="K39" s="36" t="s">
        <v>122</v>
      </c>
      <c r="L39" s="2"/>
      <c r="M39" s="2"/>
      <c r="N39" s="2"/>
      <c r="O39" s="2"/>
      <c r="P39" s="2"/>
      <c r="Q39" s="2"/>
      <c r="R39" s="2"/>
      <c r="S39" s="3"/>
      <c r="T39" s="2"/>
      <c r="U39" s="2"/>
      <c r="V39" s="2"/>
      <c r="W39" s="2"/>
      <c r="X39" s="2"/>
      <c r="Y39" s="2"/>
      <c r="Z39" s="2"/>
      <c r="AA39" s="2"/>
      <c r="AB39" s="2"/>
      <c r="AC39" s="2"/>
      <c r="AD39" s="2"/>
      <c r="AE39" s="2"/>
    </row>
    <row r="40" spans="1:31" ht="22.5" customHeight="1" x14ac:dyDescent="0.25">
      <c r="A40" s="8">
        <f t="shared" si="0"/>
        <v>39</v>
      </c>
      <c r="B40" s="24" t="s">
        <v>386</v>
      </c>
      <c r="C40" s="27">
        <v>42586</v>
      </c>
      <c r="D40" s="45">
        <f t="shared" ca="1" si="1"/>
        <v>9</v>
      </c>
      <c r="E40" s="4">
        <v>26</v>
      </c>
      <c r="F40" s="4" t="s">
        <v>19</v>
      </c>
      <c r="G40" s="4" t="s">
        <v>34</v>
      </c>
      <c r="H40" s="4" t="s">
        <v>21</v>
      </c>
      <c r="I40" s="44" t="s">
        <v>621</v>
      </c>
      <c r="J40" s="5" t="s">
        <v>383</v>
      </c>
      <c r="K40" s="36" t="s">
        <v>122</v>
      </c>
      <c r="L40" s="2"/>
      <c r="M40" s="2"/>
      <c r="N40" s="2"/>
      <c r="O40" s="2"/>
      <c r="P40" s="2"/>
      <c r="Q40" s="2"/>
      <c r="R40" s="2"/>
      <c r="S40" s="3"/>
      <c r="T40" s="2"/>
      <c r="U40" s="2"/>
      <c r="V40" s="2"/>
      <c r="W40" s="2"/>
      <c r="X40" s="2"/>
      <c r="Y40" s="2"/>
      <c r="Z40" s="2"/>
      <c r="AA40" s="2"/>
      <c r="AB40" s="2"/>
      <c r="AC40" s="2"/>
      <c r="AD40" s="2"/>
      <c r="AE40" s="2"/>
    </row>
    <row r="41" spans="1:31" ht="22.5" customHeight="1" x14ac:dyDescent="0.25">
      <c r="A41" s="8">
        <f t="shared" si="0"/>
        <v>40</v>
      </c>
      <c r="B41" s="24" t="s">
        <v>212</v>
      </c>
      <c r="C41" s="27">
        <v>42501</v>
      </c>
      <c r="D41" s="45">
        <f t="shared" ca="1" si="1"/>
        <v>9</v>
      </c>
      <c r="E41" s="4">
        <v>35</v>
      </c>
      <c r="F41" s="4" t="s">
        <v>19</v>
      </c>
      <c r="G41" s="4" t="s">
        <v>50</v>
      </c>
      <c r="H41" s="4" t="s">
        <v>21</v>
      </c>
      <c r="I41" s="44" t="s">
        <v>621</v>
      </c>
      <c r="J41" s="5" t="s">
        <v>121</v>
      </c>
      <c r="K41" s="36" t="s">
        <v>122</v>
      </c>
      <c r="L41" s="2"/>
      <c r="M41" s="2"/>
      <c r="N41" s="2"/>
      <c r="O41" s="2"/>
      <c r="P41" s="2"/>
      <c r="Q41" s="2"/>
      <c r="R41" s="2"/>
      <c r="S41" s="3"/>
      <c r="T41" s="2"/>
      <c r="U41" s="2"/>
      <c r="V41" s="2"/>
      <c r="W41" s="2"/>
      <c r="X41" s="2"/>
      <c r="Y41" s="2"/>
      <c r="Z41" s="2"/>
      <c r="AA41" s="2"/>
      <c r="AB41" s="2"/>
      <c r="AC41" s="2"/>
      <c r="AD41" s="2"/>
      <c r="AE41" s="2"/>
    </row>
    <row r="42" spans="1:31" ht="22.5" customHeight="1" x14ac:dyDescent="0.25">
      <c r="A42" s="8">
        <f t="shared" si="0"/>
        <v>41</v>
      </c>
      <c r="B42" s="24" t="s">
        <v>406</v>
      </c>
      <c r="C42" s="27">
        <v>42016</v>
      </c>
      <c r="D42" s="45">
        <f t="shared" ca="1" si="1"/>
        <v>11</v>
      </c>
      <c r="E42" s="4">
        <v>30</v>
      </c>
      <c r="F42" s="4" t="s">
        <v>25</v>
      </c>
      <c r="G42" s="4" t="s">
        <v>61</v>
      </c>
      <c r="H42" s="4" t="s">
        <v>21</v>
      </c>
      <c r="I42" s="44" t="s">
        <v>620</v>
      </c>
      <c r="J42" s="5" t="s">
        <v>383</v>
      </c>
      <c r="K42" s="36" t="s">
        <v>122</v>
      </c>
      <c r="L42" s="2"/>
      <c r="M42" s="2"/>
      <c r="N42" s="2"/>
      <c r="O42" s="2"/>
      <c r="P42" s="2"/>
      <c r="Q42" s="2"/>
      <c r="R42" s="2"/>
      <c r="S42" s="3"/>
      <c r="T42" s="2"/>
      <c r="U42" s="2"/>
      <c r="V42" s="2"/>
      <c r="W42" s="2"/>
      <c r="X42" s="2"/>
      <c r="Y42" s="2"/>
      <c r="Z42" s="2"/>
      <c r="AA42" s="2"/>
      <c r="AB42" s="2"/>
      <c r="AC42" s="2"/>
      <c r="AD42" s="2"/>
      <c r="AE42" s="2"/>
    </row>
    <row r="43" spans="1:31" ht="22.5" customHeight="1" x14ac:dyDescent="0.25">
      <c r="A43" s="8">
        <f t="shared" si="0"/>
        <v>42</v>
      </c>
      <c r="B43" s="24" t="s">
        <v>389</v>
      </c>
      <c r="C43" s="27">
        <v>42096</v>
      </c>
      <c r="D43" s="45">
        <f t="shared" ca="1" si="1"/>
        <v>10</v>
      </c>
      <c r="E43" s="4">
        <v>35</v>
      </c>
      <c r="F43" s="4" t="s">
        <v>25</v>
      </c>
      <c r="G43" s="4" t="s">
        <v>86</v>
      </c>
      <c r="H43" s="4" t="s">
        <v>21</v>
      </c>
      <c r="I43" s="44" t="s">
        <v>622</v>
      </c>
      <c r="J43" s="5" t="s">
        <v>383</v>
      </c>
      <c r="K43" s="36" t="s">
        <v>122</v>
      </c>
      <c r="L43" s="2"/>
      <c r="M43" s="2"/>
      <c r="N43" s="2"/>
      <c r="O43" s="2"/>
      <c r="P43" s="2"/>
      <c r="Q43" s="2"/>
      <c r="R43" s="2"/>
      <c r="S43" s="3"/>
      <c r="T43" s="2"/>
      <c r="U43" s="2"/>
      <c r="V43" s="2"/>
      <c r="W43" s="2"/>
      <c r="X43" s="2"/>
      <c r="Y43" s="2"/>
      <c r="Z43" s="2"/>
      <c r="AA43" s="2"/>
      <c r="AB43" s="2"/>
      <c r="AC43" s="2"/>
      <c r="AD43" s="2"/>
      <c r="AE43" s="2"/>
    </row>
    <row r="44" spans="1:31" ht="22.5" customHeight="1" x14ac:dyDescent="0.25">
      <c r="A44" s="8">
        <f t="shared" si="0"/>
        <v>43</v>
      </c>
      <c r="B44" s="24" t="s">
        <v>392</v>
      </c>
      <c r="C44" s="27">
        <v>42005</v>
      </c>
      <c r="D44" s="45">
        <f t="shared" ca="1" si="1"/>
        <v>11</v>
      </c>
      <c r="E44" s="4">
        <v>36</v>
      </c>
      <c r="F44" s="4" t="s">
        <v>25</v>
      </c>
      <c r="G44" s="4" t="s">
        <v>34</v>
      </c>
      <c r="H44" s="4" t="s">
        <v>21</v>
      </c>
      <c r="I44" s="44" t="s">
        <v>621</v>
      </c>
      <c r="J44" s="5" t="s">
        <v>383</v>
      </c>
      <c r="K44" s="36" t="s">
        <v>122</v>
      </c>
      <c r="L44" s="2"/>
      <c r="M44" s="2"/>
      <c r="N44" s="2"/>
      <c r="O44" s="2"/>
      <c r="P44" s="2"/>
      <c r="Q44" s="2"/>
      <c r="R44" s="2"/>
      <c r="S44" s="3"/>
      <c r="T44" s="2"/>
      <c r="U44" s="2"/>
      <c r="V44" s="2"/>
      <c r="W44" s="2"/>
      <c r="X44" s="2"/>
      <c r="Y44" s="2"/>
      <c r="Z44" s="2"/>
      <c r="AA44" s="2"/>
      <c r="AB44" s="2"/>
      <c r="AC44" s="2"/>
      <c r="AD44" s="2"/>
      <c r="AE44" s="2"/>
    </row>
    <row r="45" spans="1:31" ht="22.5" customHeight="1" x14ac:dyDescent="0.25">
      <c r="A45" s="8">
        <f t="shared" si="0"/>
        <v>44</v>
      </c>
      <c r="B45" s="24" t="s">
        <v>402</v>
      </c>
      <c r="C45" s="27">
        <v>42214</v>
      </c>
      <c r="D45" s="45">
        <f t="shared" ca="1" si="1"/>
        <v>10</v>
      </c>
      <c r="E45" s="4">
        <v>41</v>
      </c>
      <c r="F45" s="4" t="s">
        <v>25</v>
      </c>
      <c r="G45" s="4" t="s">
        <v>42</v>
      </c>
      <c r="H45" s="4" t="s">
        <v>21</v>
      </c>
      <c r="I45" s="44" t="s">
        <v>622</v>
      </c>
      <c r="J45" s="5" t="s">
        <v>383</v>
      </c>
      <c r="K45" s="36" t="s">
        <v>122</v>
      </c>
      <c r="L45" s="2"/>
      <c r="M45" s="2"/>
      <c r="N45" s="2"/>
      <c r="O45" s="2"/>
      <c r="P45" s="2"/>
      <c r="Q45" s="2"/>
      <c r="R45" s="2"/>
      <c r="S45" s="3"/>
      <c r="T45" s="2"/>
      <c r="U45" s="2"/>
      <c r="V45" s="2"/>
      <c r="W45" s="2"/>
      <c r="X45" s="2"/>
      <c r="Y45" s="2"/>
      <c r="Z45" s="2"/>
      <c r="AA45" s="2"/>
      <c r="AB45" s="2"/>
      <c r="AC45" s="2"/>
      <c r="AD45" s="2"/>
      <c r="AE45" s="2"/>
    </row>
    <row r="46" spans="1:31" ht="22.5" customHeight="1" x14ac:dyDescent="0.25">
      <c r="A46" s="8">
        <f t="shared" si="0"/>
        <v>45</v>
      </c>
      <c r="B46" s="24" t="s">
        <v>320</v>
      </c>
      <c r="C46" s="27">
        <v>41640</v>
      </c>
      <c r="D46" s="45">
        <f t="shared" ca="1" si="1"/>
        <v>12</v>
      </c>
      <c r="E46" s="4">
        <v>30</v>
      </c>
      <c r="F46" s="4" t="s">
        <v>25</v>
      </c>
      <c r="G46" s="4" t="s">
        <v>61</v>
      </c>
      <c r="H46" s="4" t="s">
        <v>21</v>
      </c>
      <c r="I46" s="44" t="s">
        <v>622</v>
      </c>
      <c r="J46" s="5" t="s">
        <v>121</v>
      </c>
      <c r="K46" s="36" t="s">
        <v>122</v>
      </c>
      <c r="L46" s="2"/>
      <c r="M46" s="2"/>
      <c r="N46" s="2"/>
      <c r="O46" s="2"/>
      <c r="P46" s="2"/>
      <c r="Q46" s="2"/>
      <c r="R46" s="2"/>
      <c r="S46" s="3"/>
      <c r="T46" s="2"/>
      <c r="U46" s="2"/>
      <c r="V46" s="2"/>
      <c r="W46" s="2"/>
      <c r="X46" s="2"/>
      <c r="Y46" s="2"/>
      <c r="Z46" s="2"/>
      <c r="AA46" s="2"/>
      <c r="AB46" s="2"/>
      <c r="AC46" s="2"/>
      <c r="AD46" s="2"/>
      <c r="AE46" s="2"/>
    </row>
    <row r="47" spans="1:31" ht="22.5" customHeight="1" x14ac:dyDescent="0.25">
      <c r="A47" s="8">
        <f t="shared" si="0"/>
        <v>46</v>
      </c>
      <c r="B47" s="24" t="s">
        <v>394</v>
      </c>
      <c r="C47" s="27">
        <v>41901</v>
      </c>
      <c r="D47" s="45">
        <f t="shared" ca="1" si="1"/>
        <v>11</v>
      </c>
      <c r="E47" s="4">
        <v>30</v>
      </c>
      <c r="F47" s="4" t="s">
        <v>25</v>
      </c>
      <c r="G47" s="4" t="s">
        <v>20</v>
      </c>
      <c r="H47" s="4" t="s">
        <v>21</v>
      </c>
      <c r="I47" s="44" t="s">
        <v>620</v>
      </c>
      <c r="J47" s="5" t="s">
        <v>383</v>
      </c>
      <c r="K47" s="36" t="s">
        <v>122</v>
      </c>
      <c r="L47" s="2"/>
      <c r="M47" s="2"/>
      <c r="N47" s="2"/>
      <c r="O47" s="2"/>
      <c r="P47" s="2"/>
      <c r="Q47" s="2"/>
      <c r="R47" s="2"/>
      <c r="S47" s="3"/>
      <c r="T47" s="2"/>
      <c r="U47" s="2"/>
      <c r="V47" s="2"/>
      <c r="W47" s="2"/>
      <c r="X47" s="2"/>
      <c r="Y47" s="2"/>
      <c r="Z47" s="2"/>
      <c r="AA47" s="2"/>
      <c r="AB47" s="2"/>
      <c r="AC47" s="2"/>
      <c r="AD47" s="2"/>
      <c r="AE47" s="2"/>
    </row>
    <row r="48" spans="1:31" ht="22.5" customHeight="1" x14ac:dyDescent="0.25">
      <c r="A48" s="8">
        <f t="shared" si="0"/>
        <v>47</v>
      </c>
      <c r="B48" s="24" t="s">
        <v>401</v>
      </c>
      <c r="C48" s="27">
        <v>41682</v>
      </c>
      <c r="D48" s="45">
        <f t="shared" ca="1" si="1"/>
        <v>12</v>
      </c>
      <c r="E48" s="4">
        <v>32</v>
      </c>
      <c r="F48" s="4" t="s">
        <v>25</v>
      </c>
      <c r="G48" s="4" t="s">
        <v>32</v>
      </c>
      <c r="H48" s="4" t="s">
        <v>21</v>
      </c>
      <c r="I48" s="44" t="s">
        <v>620</v>
      </c>
      <c r="J48" s="5" t="s">
        <v>383</v>
      </c>
      <c r="K48" s="36" t="s">
        <v>122</v>
      </c>
      <c r="L48" s="2"/>
      <c r="M48" s="2"/>
      <c r="N48" s="2"/>
      <c r="O48" s="2"/>
      <c r="P48" s="2"/>
      <c r="Q48" s="2"/>
      <c r="R48" s="2"/>
      <c r="S48" s="3"/>
      <c r="T48" s="2"/>
      <c r="U48" s="2"/>
      <c r="V48" s="2"/>
      <c r="W48" s="2"/>
      <c r="X48" s="2"/>
      <c r="Y48" s="2"/>
      <c r="Z48" s="2"/>
      <c r="AA48" s="2"/>
      <c r="AB48" s="2"/>
      <c r="AC48" s="2"/>
      <c r="AD48" s="2"/>
      <c r="AE48" s="2"/>
    </row>
    <row r="49" spans="1:31" ht="22.5" customHeight="1" x14ac:dyDescent="0.25">
      <c r="A49" s="8">
        <f t="shared" si="0"/>
        <v>48</v>
      </c>
      <c r="B49" s="24" t="s">
        <v>400</v>
      </c>
      <c r="C49" s="27">
        <v>41856</v>
      </c>
      <c r="D49" s="45">
        <f t="shared" ca="1" si="1"/>
        <v>11</v>
      </c>
      <c r="E49" s="4">
        <v>52</v>
      </c>
      <c r="F49" s="4" t="s">
        <v>25</v>
      </c>
      <c r="G49" s="4" t="s">
        <v>86</v>
      </c>
      <c r="H49" s="4" t="s">
        <v>21</v>
      </c>
      <c r="I49" s="44" t="s">
        <v>621</v>
      </c>
      <c r="J49" s="5" t="s">
        <v>383</v>
      </c>
      <c r="K49" s="36" t="s">
        <v>122</v>
      </c>
      <c r="L49" s="2"/>
      <c r="M49" s="2"/>
      <c r="N49" s="2"/>
      <c r="O49" s="2"/>
      <c r="P49" s="2"/>
      <c r="Q49" s="2"/>
      <c r="R49" s="2"/>
      <c r="S49" s="3"/>
      <c r="T49" s="2"/>
      <c r="U49" s="2"/>
      <c r="V49" s="2"/>
      <c r="W49" s="2"/>
      <c r="X49" s="2"/>
      <c r="Y49" s="2"/>
      <c r="Z49" s="2"/>
      <c r="AA49" s="2"/>
      <c r="AB49" s="2"/>
      <c r="AC49" s="2"/>
      <c r="AD49" s="2"/>
      <c r="AE49" s="2"/>
    </row>
    <row r="50" spans="1:31" ht="22.5" customHeight="1" x14ac:dyDescent="0.25">
      <c r="A50" s="8">
        <f t="shared" si="0"/>
        <v>49</v>
      </c>
      <c r="B50" s="24" t="s">
        <v>195</v>
      </c>
      <c r="C50" s="27">
        <v>41974</v>
      </c>
      <c r="D50" s="45">
        <f t="shared" ca="1" si="1"/>
        <v>11</v>
      </c>
      <c r="E50" s="4">
        <v>27</v>
      </c>
      <c r="F50" s="4" t="s">
        <v>19</v>
      </c>
      <c r="G50" s="4" t="s">
        <v>28</v>
      </c>
      <c r="H50" s="4" t="s">
        <v>21</v>
      </c>
      <c r="I50" s="44" t="s">
        <v>621</v>
      </c>
      <c r="J50" s="5" t="s">
        <v>121</v>
      </c>
      <c r="K50" s="36" t="s">
        <v>122</v>
      </c>
      <c r="L50" s="2"/>
      <c r="M50" s="2"/>
      <c r="N50" s="2"/>
      <c r="O50" s="2"/>
      <c r="P50" s="2"/>
      <c r="Q50" s="2"/>
      <c r="R50" s="2"/>
      <c r="S50" s="3"/>
      <c r="T50" s="2"/>
      <c r="U50" s="2"/>
      <c r="V50" s="2"/>
      <c r="W50" s="2"/>
      <c r="X50" s="2"/>
      <c r="Y50" s="2"/>
      <c r="Z50" s="2"/>
      <c r="AA50" s="2"/>
      <c r="AB50" s="2"/>
      <c r="AC50" s="2"/>
      <c r="AD50" s="2"/>
      <c r="AE50" s="2"/>
    </row>
    <row r="51" spans="1:31" ht="22.5" customHeight="1" x14ac:dyDescent="0.25">
      <c r="A51" s="8">
        <f t="shared" si="0"/>
        <v>50</v>
      </c>
      <c r="B51" s="24" t="s">
        <v>397</v>
      </c>
      <c r="C51" s="27">
        <v>41903</v>
      </c>
      <c r="D51" s="45">
        <f t="shared" ca="1" si="1"/>
        <v>11</v>
      </c>
      <c r="E51" s="4">
        <v>47</v>
      </c>
      <c r="F51" s="4" t="s">
        <v>19</v>
      </c>
      <c r="G51" s="4" t="s">
        <v>86</v>
      </c>
      <c r="H51" s="4" t="s">
        <v>21</v>
      </c>
      <c r="I51" s="44" t="s">
        <v>620</v>
      </c>
      <c r="J51" s="5" t="s">
        <v>383</v>
      </c>
      <c r="K51" s="36" t="s">
        <v>122</v>
      </c>
      <c r="L51" s="2"/>
      <c r="M51" s="2"/>
      <c r="N51" s="2"/>
      <c r="O51" s="2"/>
      <c r="P51" s="2"/>
      <c r="Q51" s="2"/>
      <c r="R51" s="2"/>
      <c r="S51" s="3"/>
      <c r="T51" s="2"/>
      <c r="U51" s="2"/>
      <c r="V51" s="2"/>
      <c r="W51" s="2"/>
      <c r="X51" s="2"/>
      <c r="Y51" s="2"/>
      <c r="Z51" s="2"/>
      <c r="AA51" s="2"/>
      <c r="AB51" s="2"/>
      <c r="AC51" s="2"/>
      <c r="AD51" s="2"/>
      <c r="AE51" s="2"/>
    </row>
    <row r="52" spans="1:31" ht="22.5" customHeight="1" x14ac:dyDescent="0.25">
      <c r="A52" s="8">
        <f t="shared" si="0"/>
        <v>51</v>
      </c>
      <c r="B52" s="24" t="s">
        <v>152</v>
      </c>
      <c r="C52" s="27">
        <v>41616</v>
      </c>
      <c r="D52" s="45">
        <f t="shared" ca="1" si="1"/>
        <v>12</v>
      </c>
      <c r="E52" s="4">
        <v>40</v>
      </c>
      <c r="F52" s="4" t="s">
        <v>25</v>
      </c>
      <c r="G52" s="4" t="s">
        <v>20</v>
      </c>
      <c r="H52" s="4" t="s">
        <v>21</v>
      </c>
      <c r="I52" s="44" t="s">
        <v>622</v>
      </c>
      <c r="J52" s="5" t="s">
        <v>121</v>
      </c>
      <c r="K52" s="36" t="s">
        <v>122</v>
      </c>
      <c r="L52" s="2"/>
      <c r="M52" s="2"/>
      <c r="N52" s="2"/>
      <c r="O52" s="2"/>
      <c r="P52" s="2"/>
      <c r="Q52" s="2"/>
      <c r="R52" s="2"/>
      <c r="S52" s="3"/>
      <c r="T52" s="2"/>
      <c r="U52" s="2"/>
      <c r="V52" s="2"/>
      <c r="W52" s="2"/>
      <c r="X52" s="2"/>
      <c r="Y52" s="2"/>
      <c r="Z52" s="2"/>
      <c r="AA52" s="2"/>
      <c r="AB52" s="2"/>
      <c r="AC52" s="2"/>
      <c r="AD52" s="2"/>
      <c r="AE52" s="2"/>
    </row>
    <row r="53" spans="1:31" ht="22.5" customHeight="1" x14ac:dyDescent="0.25">
      <c r="A53" s="8">
        <f t="shared" si="0"/>
        <v>52</v>
      </c>
      <c r="B53" s="24" t="s">
        <v>284</v>
      </c>
      <c r="C53" s="27">
        <v>41540</v>
      </c>
      <c r="D53" s="45">
        <f t="shared" ca="1" si="1"/>
        <v>12</v>
      </c>
      <c r="E53" s="4">
        <v>40</v>
      </c>
      <c r="F53" s="4" t="s">
        <v>25</v>
      </c>
      <c r="G53" s="4" t="s">
        <v>39</v>
      </c>
      <c r="H53" s="4" t="s">
        <v>21</v>
      </c>
      <c r="I53" s="44" t="s">
        <v>621</v>
      </c>
      <c r="J53" s="5" t="s">
        <v>121</v>
      </c>
      <c r="K53" s="36" t="s">
        <v>122</v>
      </c>
      <c r="L53" s="2"/>
      <c r="M53" s="2"/>
      <c r="N53" s="2"/>
      <c r="O53" s="2"/>
      <c r="P53" s="2"/>
      <c r="Q53" s="2"/>
      <c r="R53" s="2"/>
      <c r="S53" s="3"/>
      <c r="T53" s="2"/>
      <c r="U53" s="2"/>
      <c r="V53" s="2"/>
      <c r="W53" s="2"/>
      <c r="X53" s="2"/>
      <c r="Y53" s="2"/>
      <c r="Z53" s="2"/>
      <c r="AA53" s="2"/>
      <c r="AB53" s="2"/>
      <c r="AC53" s="2"/>
      <c r="AD53" s="2"/>
      <c r="AE53" s="2"/>
    </row>
    <row r="54" spans="1:31" ht="22.5" customHeight="1" x14ac:dyDescent="0.25">
      <c r="A54" s="8">
        <f t="shared" si="0"/>
        <v>53</v>
      </c>
      <c r="B54" s="24" t="s">
        <v>403</v>
      </c>
      <c r="C54" s="27">
        <v>41415</v>
      </c>
      <c r="D54" s="45">
        <f t="shared" ca="1" si="1"/>
        <v>12</v>
      </c>
      <c r="E54" s="4">
        <v>43</v>
      </c>
      <c r="F54" s="4" t="s">
        <v>25</v>
      </c>
      <c r="G54" s="4" t="s">
        <v>86</v>
      </c>
      <c r="H54" s="4" t="s">
        <v>21</v>
      </c>
      <c r="I54" s="44" t="s">
        <v>622</v>
      </c>
      <c r="J54" s="5" t="s">
        <v>383</v>
      </c>
      <c r="K54" s="36" t="s">
        <v>122</v>
      </c>
      <c r="L54" s="2"/>
      <c r="M54" s="2"/>
      <c r="N54" s="2"/>
      <c r="O54" s="2"/>
      <c r="P54" s="2"/>
      <c r="Q54" s="2"/>
      <c r="R54" s="2"/>
      <c r="S54" s="3"/>
      <c r="T54" s="2"/>
      <c r="U54" s="2"/>
      <c r="V54" s="2"/>
      <c r="W54" s="2"/>
      <c r="X54" s="2"/>
      <c r="Y54" s="2"/>
      <c r="Z54" s="2"/>
      <c r="AA54" s="2"/>
      <c r="AB54" s="2"/>
      <c r="AC54" s="2"/>
      <c r="AD54" s="2"/>
      <c r="AE54" s="2"/>
    </row>
    <row r="55" spans="1:31" ht="22.5" customHeight="1" x14ac:dyDescent="0.25">
      <c r="A55" s="8">
        <f t="shared" si="0"/>
        <v>54</v>
      </c>
      <c r="B55" s="24" t="s">
        <v>382</v>
      </c>
      <c r="C55" s="27">
        <v>41533</v>
      </c>
      <c r="D55" s="45">
        <f t="shared" ca="1" si="1"/>
        <v>12</v>
      </c>
      <c r="E55" s="4">
        <v>53</v>
      </c>
      <c r="F55" s="4" t="s">
        <v>25</v>
      </c>
      <c r="G55" s="4" t="s">
        <v>86</v>
      </c>
      <c r="H55" s="4" t="s">
        <v>21</v>
      </c>
      <c r="I55" s="44" t="s">
        <v>622</v>
      </c>
      <c r="J55" s="5" t="s">
        <v>383</v>
      </c>
      <c r="K55" s="36" t="s">
        <v>122</v>
      </c>
      <c r="L55" s="2"/>
      <c r="M55" s="2"/>
      <c r="N55" s="2"/>
      <c r="O55" s="2"/>
      <c r="P55" s="2"/>
      <c r="Q55" s="2"/>
      <c r="R55" s="2"/>
      <c r="S55" s="3"/>
      <c r="T55" s="2"/>
      <c r="U55" s="2"/>
      <c r="V55" s="2"/>
      <c r="W55" s="2"/>
      <c r="X55" s="2"/>
      <c r="Y55" s="2"/>
      <c r="Z55" s="2"/>
      <c r="AA55" s="2"/>
      <c r="AB55" s="2"/>
      <c r="AC55" s="2"/>
      <c r="AD55" s="2"/>
      <c r="AE55" s="2"/>
    </row>
    <row r="56" spans="1:31" ht="22.5" customHeight="1" x14ac:dyDescent="0.25">
      <c r="A56" s="8">
        <f t="shared" si="0"/>
        <v>55</v>
      </c>
      <c r="B56" s="24" t="s">
        <v>393</v>
      </c>
      <c r="C56" s="27">
        <v>41549</v>
      </c>
      <c r="D56" s="45">
        <f t="shared" ca="1" si="1"/>
        <v>12</v>
      </c>
      <c r="E56" s="4">
        <v>40</v>
      </c>
      <c r="F56" s="4" t="s">
        <v>19</v>
      </c>
      <c r="G56" s="4" t="s">
        <v>34</v>
      </c>
      <c r="H56" s="4" t="s">
        <v>21</v>
      </c>
      <c r="I56" s="44" t="s">
        <v>620</v>
      </c>
      <c r="J56" s="5" t="s">
        <v>383</v>
      </c>
      <c r="K56" s="36" t="s">
        <v>122</v>
      </c>
      <c r="L56" s="2"/>
      <c r="M56" s="2"/>
      <c r="N56" s="2"/>
      <c r="O56" s="2"/>
      <c r="P56" s="2"/>
      <c r="Q56" s="2"/>
      <c r="R56" s="2"/>
      <c r="S56" s="3"/>
      <c r="T56" s="2"/>
      <c r="U56" s="2"/>
      <c r="V56" s="2"/>
      <c r="W56" s="2"/>
      <c r="X56" s="2"/>
      <c r="Y56" s="2"/>
      <c r="Z56" s="2"/>
      <c r="AA56" s="2"/>
      <c r="AB56" s="2"/>
      <c r="AC56" s="2"/>
      <c r="AD56" s="2"/>
      <c r="AE56" s="2"/>
    </row>
    <row r="57" spans="1:31" ht="22.5" customHeight="1" x14ac:dyDescent="0.25">
      <c r="A57" s="8">
        <f t="shared" si="0"/>
        <v>56</v>
      </c>
      <c r="B57" s="24" t="s">
        <v>398</v>
      </c>
      <c r="C57" s="27">
        <v>41412</v>
      </c>
      <c r="D57" s="45">
        <f t="shared" ca="1" si="1"/>
        <v>12</v>
      </c>
      <c r="E57" s="4">
        <v>56</v>
      </c>
      <c r="F57" s="4" t="s">
        <v>19</v>
      </c>
      <c r="G57" s="4" t="s">
        <v>61</v>
      </c>
      <c r="H57" s="4" t="s">
        <v>21</v>
      </c>
      <c r="I57" s="44" t="s">
        <v>620</v>
      </c>
      <c r="J57" s="5" t="s">
        <v>383</v>
      </c>
      <c r="K57" s="36" t="s">
        <v>122</v>
      </c>
      <c r="L57" s="2"/>
      <c r="M57" s="2"/>
      <c r="N57" s="2"/>
      <c r="O57" s="2"/>
      <c r="P57" s="2"/>
      <c r="Q57" s="2"/>
      <c r="R57" s="2"/>
      <c r="S57" s="3"/>
      <c r="T57" s="2"/>
      <c r="U57" s="2"/>
      <c r="V57" s="2"/>
      <c r="W57" s="2"/>
      <c r="X57" s="2"/>
      <c r="Y57" s="2"/>
      <c r="Z57" s="2"/>
      <c r="AA57" s="2"/>
      <c r="AB57" s="2"/>
      <c r="AC57" s="2"/>
      <c r="AD57" s="2"/>
      <c r="AE57" s="2"/>
    </row>
    <row r="58" spans="1:31" ht="22.5" customHeight="1" x14ac:dyDescent="0.25">
      <c r="A58" s="8">
        <f t="shared" si="0"/>
        <v>57</v>
      </c>
      <c r="B58" s="24" t="s">
        <v>126</v>
      </c>
      <c r="C58" s="27">
        <v>41581</v>
      </c>
      <c r="D58" s="45">
        <f t="shared" ca="1" si="1"/>
        <v>12</v>
      </c>
      <c r="E58" s="4">
        <v>30</v>
      </c>
      <c r="F58" s="4" t="s">
        <v>19</v>
      </c>
      <c r="G58" s="4" t="s">
        <v>28</v>
      </c>
      <c r="H58" s="4" t="s">
        <v>51</v>
      </c>
      <c r="I58" s="44" t="s">
        <v>621</v>
      </c>
      <c r="J58" s="5" t="s">
        <v>121</v>
      </c>
      <c r="K58" s="36" t="s">
        <v>122</v>
      </c>
      <c r="L58" s="2"/>
      <c r="M58" s="2"/>
      <c r="N58" s="2"/>
      <c r="O58" s="2"/>
      <c r="P58" s="2"/>
      <c r="Q58" s="2"/>
      <c r="R58" s="2"/>
      <c r="S58" s="3"/>
      <c r="T58" s="2"/>
      <c r="U58" s="2"/>
      <c r="V58" s="2"/>
      <c r="W58" s="2"/>
      <c r="X58" s="2"/>
      <c r="Y58" s="2"/>
      <c r="Z58" s="2"/>
      <c r="AA58" s="2"/>
      <c r="AB58" s="2"/>
      <c r="AC58" s="2"/>
      <c r="AD58" s="2"/>
      <c r="AE58" s="2"/>
    </row>
    <row r="59" spans="1:31" ht="22.5" customHeight="1" x14ac:dyDescent="0.25">
      <c r="A59" s="8">
        <f t="shared" si="0"/>
        <v>58</v>
      </c>
      <c r="B59" s="24" t="s">
        <v>125</v>
      </c>
      <c r="C59" s="27">
        <v>41219</v>
      </c>
      <c r="D59" s="45">
        <f t="shared" ca="1" si="1"/>
        <v>13</v>
      </c>
      <c r="E59" s="4">
        <v>43</v>
      </c>
      <c r="F59" s="4" t="s">
        <v>25</v>
      </c>
      <c r="G59" s="4" t="s">
        <v>86</v>
      </c>
      <c r="H59" s="4" t="s">
        <v>21</v>
      </c>
      <c r="I59" s="44" t="s">
        <v>621</v>
      </c>
      <c r="J59" s="5" t="s">
        <v>121</v>
      </c>
      <c r="K59" s="36" t="s">
        <v>122</v>
      </c>
      <c r="L59" s="2"/>
      <c r="M59" s="2"/>
      <c r="N59" s="2"/>
      <c r="O59" s="2"/>
      <c r="P59" s="2"/>
      <c r="Q59" s="2"/>
      <c r="R59" s="2"/>
      <c r="S59" s="3"/>
      <c r="T59" s="2"/>
      <c r="U59" s="2"/>
      <c r="V59" s="2"/>
      <c r="W59" s="2"/>
      <c r="X59" s="2"/>
      <c r="Y59" s="2"/>
      <c r="Z59" s="2"/>
      <c r="AA59" s="2"/>
      <c r="AB59" s="2"/>
      <c r="AC59" s="2"/>
      <c r="AD59" s="2"/>
      <c r="AE59" s="2"/>
    </row>
    <row r="60" spans="1:31" ht="22.5" customHeight="1" x14ac:dyDescent="0.25">
      <c r="A60" s="8">
        <f t="shared" si="0"/>
        <v>59</v>
      </c>
      <c r="B60" s="24" t="s">
        <v>319</v>
      </c>
      <c r="C60" s="27">
        <v>41022</v>
      </c>
      <c r="D60" s="45">
        <f t="shared" ca="1" si="1"/>
        <v>13</v>
      </c>
      <c r="E60" s="4">
        <v>40</v>
      </c>
      <c r="F60" s="4" t="s">
        <v>19</v>
      </c>
      <c r="G60" s="4" t="s">
        <v>61</v>
      </c>
      <c r="H60" s="4" t="s">
        <v>21</v>
      </c>
      <c r="I60" s="44" t="s">
        <v>620</v>
      </c>
      <c r="J60" s="5" t="s">
        <v>121</v>
      </c>
      <c r="K60" s="36" t="s">
        <v>122</v>
      </c>
      <c r="L60" s="2"/>
      <c r="M60" s="2"/>
      <c r="N60" s="2"/>
      <c r="O60" s="2"/>
      <c r="P60" s="2"/>
      <c r="Q60" s="2"/>
      <c r="R60" s="2"/>
      <c r="S60" s="3"/>
      <c r="T60" s="2"/>
      <c r="U60" s="2"/>
      <c r="V60" s="2"/>
      <c r="W60" s="2"/>
      <c r="X60" s="2"/>
      <c r="Y60" s="2"/>
      <c r="Z60" s="2"/>
      <c r="AA60" s="2"/>
      <c r="AB60" s="2"/>
      <c r="AC60" s="2"/>
      <c r="AD60" s="2"/>
      <c r="AE60" s="2"/>
    </row>
    <row r="61" spans="1:31" ht="22.5" customHeight="1" x14ac:dyDescent="0.25">
      <c r="A61" s="8">
        <f t="shared" si="0"/>
        <v>60</v>
      </c>
      <c r="B61" s="24" t="s">
        <v>340</v>
      </c>
      <c r="C61" s="27">
        <v>40931</v>
      </c>
      <c r="D61" s="45">
        <f t="shared" ca="1" si="1"/>
        <v>14</v>
      </c>
      <c r="E61" s="4">
        <v>46</v>
      </c>
      <c r="F61" s="4" t="s">
        <v>19</v>
      </c>
      <c r="G61" s="4" t="s">
        <v>37</v>
      </c>
      <c r="H61" s="4" t="s">
        <v>21</v>
      </c>
      <c r="I61" s="44" t="s">
        <v>622</v>
      </c>
      <c r="J61" s="5" t="s">
        <v>121</v>
      </c>
      <c r="K61" s="36" t="s">
        <v>122</v>
      </c>
      <c r="L61" s="2"/>
      <c r="M61" s="2"/>
      <c r="N61" s="2"/>
      <c r="O61" s="2"/>
      <c r="P61" s="2"/>
      <c r="Q61" s="2"/>
      <c r="R61" s="2"/>
      <c r="S61" s="3"/>
      <c r="T61" s="2"/>
      <c r="U61" s="2"/>
      <c r="V61" s="2"/>
      <c r="W61" s="2"/>
      <c r="X61" s="2"/>
      <c r="Y61" s="2"/>
      <c r="Z61" s="2"/>
      <c r="AA61" s="2"/>
      <c r="AB61" s="2"/>
      <c r="AC61" s="2"/>
      <c r="AD61" s="2"/>
      <c r="AE61" s="2"/>
    </row>
    <row r="62" spans="1:31" ht="22.5" customHeight="1" x14ac:dyDescent="0.25">
      <c r="A62" s="8">
        <f t="shared" si="0"/>
        <v>61</v>
      </c>
      <c r="B62" s="24" t="s">
        <v>229</v>
      </c>
      <c r="C62" s="27">
        <v>41102</v>
      </c>
      <c r="D62" s="45">
        <f t="shared" ca="1" si="1"/>
        <v>13</v>
      </c>
      <c r="E62" s="4">
        <v>30</v>
      </c>
      <c r="F62" s="4" t="s">
        <v>19</v>
      </c>
      <c r="G62" s="4" t="s">
        <v>28</v>
      </c>
      <c r="H62" s="4" t="s">
        <v>51</v>
      </c>
      <c r="I62" s="44" t="s">
        <v>621</v>
      </c>
      <c r="J62" s="5" t="s">
        <v>121</v>
      </c>
      <c r="K62" s="36" t="s">
        <v>122</v>
      </c>
      <c r="L62" s="2"/>
      <c r="M62" s="2"/>
      <c r="N62" s="2"/>
      <c r="O62" s="2"/>
      <c r="P62" s="2"/>
      <c r="Q62" s="2"/>
      <c r="R62" s="2"/>
      <c r="S62" s="3"/>
      <c r="T62" s="2"/>
      <c r="U62" s="2"/>
      <c r="V62" s="2"/>
      <c r="W62" s="2"/>
      <c r="X62" s="2"/>
      <c r="Y62" s="2"/>
      <c r="Z62" s="2"/>
      <c r="AA62" s="2"/>
      <c r="AB62" s="2"/>
      <c r="AC62" s="2"/>
      <c r="AD62" s="2"/>
      <c r="AE62" s="2"/>
    </row>
    <row r="63" spans="1:31" ht="22.5" customHeight="1" x14ac:dyDescent="0.25">
      <c r="A63" s="8">
        <f t="shared" si="0"/>
        <v>62</v>
      </c>
      <c r="B63" s="24" t="s">
        <v>384</v>
      </c>
      <c r="C63" s="27">
        <v>40810</v>
      </c>
      <c r="D63" s="45">
        <f t="shared" ca="1" si="1"/>
        <v>14</v>
      </c>
      <c r="E63" s="4">
        <v>54</v>
      </c>
      <c r="F63" s="4" t="s">
        <v>25</v>
      </c>
      <c r="G63" s="4" t="s">
        <v>34</v>
      </c>
      <c r="H63" s="4" t="s">
        <v>21</v>
      </c>
      <c r="I63" s="44" t="s">
        <v>622</v>
      </c>
      <c r="J63" s="5" t="s">
        <v>383</v>
      </c>
      <c r="K63" s="36" t="s">
        <v>122</v>
      </c>
      <c r="L63" s="2"/>
      <c r="M63" s="2"/>
      <c r="N63" s="2"/>
      <c r="O63" s="2"/>
      <c r="P63" s="2"/>
      <c r="Q63" s="2"/>
      <c r="R63" s="2"/>
      <c r="S63" s="3"/>
      <c r="T63" s="2"/>
      <c r="U63" s="2"/>
      <c r="V63" s="2"/>
      <c r="W63" s="2"/>
      <c r="X63" s="2"/>
      <c r="Y63" s="2"/>
      <c r="Z63" s="2"/>
      <c r="AA63" s="2"/>
      <c r="AB63" s="2"/>
      <c r="AC63" s="2"/>
      <c r="AD63" s="2"/>
      <c r="AE63" s="2"/>
    </row>
    <row r="64" spans="1:31" ht="22.5" customHeight="1" x14ac:dyDescent="0.25">
      <c r="A64" s="8">
        <f t="shared" si="0"/>
        <v>63</v>
      </c>
      <c r="B64" s="24" t="s">
        <v>171</v>
      </c>
      <c r="C64" s="27">
        <v>40240</v>
      </c>
      <c r="D64" s="45">
        <f t="shared" ca="1" si="1"/>
        <v>16</v>
      </c>
      <c r="E64" s="4">
        <v>37</v>
      </c>
      <c r="F64" s="4" t="s">
        <v>19</v>
      </c>
      <c r="G64" s="4" t="s">
        <v>39</v>
      </c>
      <c r="H64" s="4" t="s">
        <v>21</v>
      </c>
      <c r="I64" s="44" t="s">
        <v>622</v>
      </c>
      <c r="J64" s="5" t="s">
        <v>121</v>
      </c>
      <c r="K64" s="36" t="s">
        <v>122</v>
      </c>
      <c r="L64" s="2"/>
      <c r="M64" s="2"/>
      <c r="N64" s="2"/>
      <c r="O64" s="2"/>
      <c r="P64" s="2"/>
      <c r="Q64" s="2"/>
      <c r="R64" s="2"/>
      <c r="S64" s="3"/>
      <c r="T64" s="2"/>
      <c r="U64" s="2"/>
      <c r="V64" s="2"/>
      <c r="W64" s="2"/>
      <c r="X64" s="2"/>
      <c r="Y64" s="2"/>
      <c r="Z64" s="2"/>
      <c r="AA64" s="2"/>
      <c r="AB64" s="2"/>
      <c r="AC64" s="2"/>
      <c r="AD64" s="2"/>
      <c r="AE64" s="2"/>
    </row>
    <row r="65" spans="1:31" ht="22.5" customHeight="1" x14ac:dyDescent="0.25">
      <c r="A65" s="8">
        <f t="shared" si="0"/>
        <v>64</v>
      </c>
      <c r="B65" s="24" t="s">
        <v>613</v>
      </c>
      <c r="C65" s="28">
        <v>40192</v>
      </c>
      <c r="D65" s="45">
        <f t="shared" ca="1" si="1"/>
        <v>16</v>
      </c>
      <c r="E65" s="4">
        <v>42</v>
      </c>
      <c r="F65" s="4" t="s">
        <v>614</v>
      </c>
      <c r="G65" s="4" t="s">
        <v>42</v>
      </c>
      <c r="H65" s="4" t="s">
        <v>21</v>
      </c>
      <c r="I65" s="44" t="s">
        <v>620</v>
      </c>
      <c r="J65" s="5" t="s">
        <v>121</v>
      </c>
      <c r="K65" s="36" t="s">
        <v>122</v>
      </c>
      <c r="L65" s="2"/>
      <c r="M65" s="2"/>
      <c r="N65" s="2"/>
      <c r="O65" s="2"/>
      <c r="P65" s="2"/>
      <c r="Q65" s="2"/>
      <c r="R65" s="2"/>
      <c r="S65" s="3"/>
      <c r="T65" s="2"/>
      <c r="U65" s="2"/>
      <c r="V65" s="2"/>
      <c r="W65" s="2"/>
      <c r="X65" s="2"/>
      <c r="Y65" s="2"/>
      <c r="Z65" s="2"/>
      <c r="AA65" s="2"/>
      <c r="AB65" s="2"/>
      <c r="AC65" s="2"/>
      <c r="AD65" s="2"/>
      <c r="AE65" s="2"/>
    </row>
    <row r="66" spans="1:31" ht="22.5" customHeight="1" x14ac:dyDescent="0.25">
      <c r="A66" s="8">
        <f t="shared" si="0"/>
        <v>65</v>
      </c>
      <c r="B66" s="24" t="s">
        <v>170</v>
      </c>
      <c r="C66" s="27">
        <v>40468</v>
      </c>
      <c r="D66" s="45">
        <f t="shared" ca="1" si="1"/>
        <v>15</v>
      </c>
      <c r="E66" s="4">
        <v>49</v>
      </c>
      <c r="F66" s="4" t="s">
        <v>19</v>
      </c>
      <c r="G66" s="4" t="s">
        <v>39</v>
      </c>
      <c r="H66" s="4" t="s">
        <v>21</v>
      </c>
      <c r="I66" s="44" t="s">
        <v>620</v>
      </c>
      <c r="J66" s="5" t="s">
        <v>121</v>
      </c>
      <c r="K66" s="36" t="s">
        <v>122</v>
      </c>
      <c r="L66" s="2"/>
      <c r="M66" s="2"/>
      <c r="N66" s="2"/>
      <c r="O66" s="2"/>
      <c r="P66" s="2"/>
      <c r="Q66" s="2"/>
      <c r="R66" s="2"/>
      <c r="S66" s="3"/>
      <c r="T66" s="2"/>
      <c r="U66" s="2"/>
      <c r="V66" s="2"/>
      <c r="W66" s="2"/>
      <c r="X66" s="2"/>
      <c r="Y66" s="2"/>
      <c r="Z66" s="2"/>
      <c r="AA66" s="2"/>
      <c r="AB66" s="2"/>
      <c r="AC66" s="2"/>
      <c r="AD66" s="2"/>
      <c r="AE66" s="2"/>
    </row>
    <row r="67" spans="1:31" ht="22.5" customHeight="1" x14ac:dyDescent="0.25">
      <c r="A67" s="8">
        <f t="shared" ref="A67:A130" si="2">A66+1</f>
        <v>66</v>
      </c>
      <c r="B67" s="24" t="s">
        <v>391</v>
      </c>
      <c r="C67" s="27">
        <v>40872</v>
      </c>
      <c r="D67" s="45">
        <f t="shared" ref="D67:D130" ca="1" si="3">DATEDIF(C67, TODAY(), "Y")</f>
        <v>14</v>
      </c>
      <c r="E67" s="4">
        <v>49</v>
      </c>
      <c r="F67" s="4" t="s">
        <v>19</v>
      </c>
      <c r="G67" s="4" t="s">
        <v>34</v>
      </c>
      <c r="H67" s="4" t="s">
        <v>21</v>
      </c>
      <c r="I67" s="44" t="s">
        <v>621</v>
      </c>
      <c r="J67" s="5" t="s">
        <v>383</v>
      </c>
      <c r="K67" s="36" t="s">
        <v>122</v>
      </c>
      <c r="L67" s="2"/>
      <c r="M67" s="2"/>
      <c r="N67" s="2"/>
      <c r="O67" s="2"/>
      <c r="P67" s="2"/>
      <c r="Q67" s="2"/>
      <c r="R67" s="2"/>
      <c r="S67" s="3"/>
      <c r="T67" s="2"/>
      <c r="U67" s="2"/>
      <c r="V67" s="2"/>
      <c r="W67" s="2"/>
      <c r="X67" s="2"/>
      <c r="Y67" s="2"/>
      <c r="Z67" s="2"/>
      <c r="AA67" s="2"/>
      <c r="AB67" s="2"/>
      <c r="AC67" s="2"/>
      <c r="AD67" s="2"/>
      <c r="AE67" s="2"/>
    </row>
    <row r="68" spans="1:31" ht="22.5" customHeight="1" x14ac:dyDescent="0.25">
      <c r="A68" s="8">
        <f t="shared" si="2"/>
        <v>67</v>
      </c>
      <c r="B68" s="24" t="s">
        <v>172</v>
      </c>
      <c r="C68" s="27">
        <v>40344</v>
      </c>
      <c r="D68" s="45">
        <f t="shared" ca="1" si="3"/>
        <v>15</v>
      </c>
      <c r="E68" s="4">
        <v>50</v>
      </c>
      <c r="F68" s="4" t="s">
        <v>19</v>
      </c>
      <c r="G68" s="4" t="s">
        <v>39</v>
      </c>
      <c r="H68" s="4" t="s">
        <v>21</v>
      </c>
      <c r="I68" s="44" t="s">
        <v>621</v>
      </c>
      <c r="J68" s="5" t="s">
        <v>121</v>
      </c>
      <c r="K68" s="36" t="s">
        <v>122</v>
      </c>
      <c r="L68" s="2"/>
      <c r="M68" s="2"/>
      <c r="N68" s="2"/>
      <c r="O68" s="2"/>
      <c r="P68" s="2"/>
      <c r="Q68" s="2"/>
      <c r="R68" s="2"/>
      <c r="S68" s="3"/>
      <c r="T68" s="2"/>
      <c r="U68" s="2"/>
      <c r="V68" s="2"/>
      <c r="W68" s="2"/>
      <c r="X68" s="2"/>
      <c r="Y68" s="2"/>
      <c r="Z68" s="2"/>
      <c r="AA68" s="2"/>
      <c r="AB68" s="2"/>
      <c r="AC68" s="2"/>
      <c r="AD68" s="2"/>
      <c r="AE68" s="2"/>
    </row>
    <row r="69" spans="1:31" ht="22.5" customHeight="1" x14ac:dyDescent="0.25">
      <c r="A69" s="8">
        <f t="shared" si="2"/>
        <v>68</v>
      </c>
      <c r="B69" s="24" t="s">
        <v>180</v>
      </c>
      <c r="C69" s="27">
        <v>40204</v>
      </c>
      <c r="D69" s="45">
        <f t="shared" ca="1" si="3"/>
        <v>16</v>
      </c>
      <c r="E69" s="4">
        <v>50</v>
      </c>
      <c r="F69" s="4" t="s">
        <v>19</v>
      </c>
      <c r="G69" s="4" t="s">
        <v>61</v>
      </c>
      <c r="H69" s="4" t="s">
        <v>51</v>
      </c>
      <c r="I69" s="44" t="s">
        <v>620</v>
      </c>
      <c r="J69" s="5" t="s">
        <v>121</v>
      </c>
      <c r="K69" s="36" t="s">
        <v>122</v>
      </c>
      <c r="L69" s="2"/>
      <c r="M69" s="2"/>
      <c r="N69" s="2"/>
      <c r="O69" s="2"/>
      <c r="P69" s="2"/>
      <c r="Q69" s="2"/>
      <c r="R69" s="2"/>
      <c r="S69" s="3"/>
      <c r="T69" s="2"/>
      <c r="U69" s="2"/>
      <c r="V69" s="2"/>
      <c r="W69" s="2"/>
      <c r="X69" s="2"/>
      <c r="Y69" s="2"/>
      <c r="Z69" s="2"/>
      <c r="AA69" s="2"/>
      <c r="AB69" s="2"/>
      <c r="AC69" s="2"/>
      <c r="AD69" s="2"/>
      <c r="AE69" s="2"/>
    </row>
    <row r="70" spans="1:31" ht="22.5" customHeight="1" x14ac:dyDescent="0.25">
      <c r="A70" s="8">
        <f t="shared" si="2"/>
        <v>69</v>
      </c>
      <c r="B70" s="24" t="s">
        <v>387</v>
      </c>
      <c r="C70" s="27">
        <v>39981</v>
      </c>
      <c r="D70" s="45">
        <f t="shared" ca="1" si="3"/>
        <v>16</v>
      </c>
      <c r="E70" s="4">
        <v>65</v>
      </c>
      <c r="F70" s="4" t="s">
        <v>19</v>
      </c>
      <c r="G70" s="4" t="s">
        <v>32</v>
      </c>
      <c r="H70" s="4" t="s">
        <v>21</v>
      </c>
      <c r="I70" s="44" t="s">
        <v>622</v>
      </c>
      <c r="J70" s="5" t="s">
        <v>383</v>
      </c>
      <c r="K70" s="36" t="s">
        <v>122</v>
      </c>
      <c r="L70" s="2"/>
      <c r="M70" s="2"/>
      <c r="N70" s="2"/>
      <c r="O70" s="2"/>
      <c r="P70" s="2"/>
      <c r="Q70" s="2"/>
      <c r="R70" s="2"/>
      <c r="S70" s="3"/>
      <c r="T70" s="2"/>
      <c r="U70" s="2"/>
      <c r="V70" s="2"/>
      <c r="W70" s="2"/>
      <c r="X70" s="2"/>
      <c r="Y70" s="2"/>
      <c r="Z70" s="2"/>
      <c r="AA70" s="2"/>
      <c r="AB70" s="2"/>
      <c r="AC70" s="2"/>
      <c r="AD70" s="2"/>
      <c r="AE70" s="2"/>
    </row>
    <row r="71" spans="1:31" ht="22.5" customHeight="1" x14ac:dyDescent="0.25">
      <c r="A71" s="8">
        <f t="shared" si="2"/>
        <v>70</v>
      </c>
      <c r="B71" s="24" t="s">
        <v>408</v>
      </c>
      <c r="C71" s="27">
        <v>39046</v>
      </c>
      <c r="D71" s="45">
        <f t="shared" ca="1" si="3"/>
        <v>19</v>
      </c>
      <c r="E71" s="4">
        <v>51</v>
      </c>
      <c r="F71" s="4" t="s">
        <v>25</v>
      </c>
      <c r="G71" s="4" t="s">
        <v>26</v>
      </c>
      <c r="H71" s="4" t="s">
        <v>21</v>
      </c>
      <c r="I71" s="44" t="s">
        <v>621</v>
      </c>
      <c r="J71" s="5" t="s">
        <v>383</v>
      </c>
      <c r="K71" s="36" t="s">
        <v>122</v>
      </c>
      <c r="L71" s="2"/>
      <c r="M71" s="2"/>
      <c r="N71" s="2"/>
      <c r="O71" s="2"/>
      <c r="P71" s="2"/>
      <c r="Q71" s="2"/>
      <c r="R71" s="2"/>
      <c r="S71" s="3"/>
      <c r="T71" s="2"/>
      <c r="U71" s="2"/>
      <c r="V71" s="2"/>
      <c r="W71" s="2"/>
      <c r="X71" s="2"/>
      <c r="Y71" s="2"/>
      <c r="Z71" s="2"/>
      <c r="AA71" s="2"/>
      <c r="AB71" s="2"/>
      <c r="AC71" s="2"/>
      <c r="AD71" s="2"/>
      <c r="AE71" s="2"/>
    </row>
    <row r="72" spans="1:31" ht="22.5" customHeight="1" x14ac:dyDescent="0.25">
      <c r="A72" s="8">
        <f t="shared" si="2"/>
        <v>71</v>
      </c>
      <c r="B72" s="24" t="s">
        <v>615</v>
      </c>
      <c r="C72" s="27">
        <v>37856</v>
      </c>
      <c r="D72" s="45">
        <f t="shared" ca="1" si="3"/>
        <v>22</v>
      </c>
      <c r="E72" s="4">
        <v>52</v>
      </c>
      <c r="F72" s="4" t="s">
        <v>25</v>
      </c>
      <c r="G72" s="4" t="s">
        <v>608</v>
      </c>
      <c r="H72" s="4" t="s">
        <v>21</v>
      </c>
      <c r="I72" s="44" t="s">
        <v>622</v>
      </c>
      <c r="J72" s="5" t="s">
        <v>584</v>
      </c>
      <c r="K72" s="36" t="s">
        <v>122</v>
      </c>
      <c r="L72" s="2"/>
      <c r="M72" s="2"/>
      <c r="N72" s="2"/>
      <c r="O72" s="2"/>
      <c r="P72" s="2"/>
      <c r="Q72" s="2"/>
      <c r="R72" s="2"/>
      <c r="S72" s="3"/>
      <c r="T72" s="2"/>
      <c r="U72" s="2"/>
      <c r="V72" s="2"/>
      <c r="W72" s="2"/>
      <c r="X72" s="2"/>
      <c r="Y72" s="2"/>
      <c r="Z72" s="2"/>
      <c r="AA72" s="2"/>
      <c r="AB72" s="2"/>
      <c r="AC72" s="2"/>
      <c r="AD72" s="2"/>
      <c r="AE72" s="2"/>
    </row>
    <row r="73" spans="1:31" ht="22.5" customHeight="1" x14ac:dyDescent="0.25">
      <c r="A73" s="8">
        <f t="shared" si="2"/>
        <v>72</v>
      </c>
      <c r="B73" s="24" t="s">
        <v>139</v>
      </c>
      <c r="C73" s="27">
        <v>41080</v>
      </c>
      <c r="D73" s="45">
        <f t="shared" ca="1" si="3"/>
        <v>13</v>
      </c>
      <c r="E73" s="4">
        <v>40</v>
      </c>
      <c r="F73" s="4" t="s">
        <v>25</v>
      </c>
      <c r="G73" s="4" t="s">
        <v>61</v>
      </c>
      <c r="H73" s="4" t="s">
        <v>21</v>
      </c>
      <c r="I73" s="44" t="s">
        <v>622</v>
      </c>
      <c r="J73" s="5" t="s">
        <v>121</v>
      </c>
      <c r="K73" s="36" t="s">
        <v>140</v>
      </c>
      <c r="L73" s="2"/>
      <c r="M73" s="2"/>
      <c r="N73" s="2"/>
      <c r="O73" s="2"/>
      <c r="P73" s="2"/>
      <c r="Q73" s="2"/>
      <c r="R73" s="2"/>
      <c r="S73" s="3"/>
      <c r="T73" s="2"/>
      <c r="U73" s="2"/>
      <c r="V73" s="2"/>
      <c r="W73" s="2"/>
      <c r="X73" s="2"/>
      <c r="Y73" s="2"/>
      <c r="Z73" s="2"/>
      <c r="AA73" s="2"/>
      <c r="AB73" s="2"/>
      <c r="AC73" s="2"/>
      <c r="AD73" s="2"/>
      <c r="AE73" s="2"/>
    </row>
    <row r="74" spans="1:31" ht="22.5" customHeight="1" x14ac:dyDescent="0.25">
      <c r="A74" s="8">
        <f t="shared" si="2"/>
        <v>73</v>
      </c>
      <c r="B74" s="24" t="s">
        <v>573</v>
      </c>
      <c r="C74" s="29">
        <v>42541</v>
      </c>
      <c r="D74" s="45">
        <f t="shared" ca="1" si="3"/>
        <v>9</v>
      </c>
      <c r="E74" s="16">
        <v>40</v>
      </c>
      <c r="F74" s="16" t="s">
        <v>25</v>
      </c>
      <c r="G74" s="16" t="s">
        <v>39</v>
      </c>
      <c r="H74" s="16" t="s">
        <v>21</v>
      </c>
      <c r="I74" s="44" t="s">
        <v>620</v>
      </c>
      <c r="J74" s="17" t="s">
        <v>584</v>
      </c>
      <c r="K74" s="39" t="s">
        <v>585</v>
      </c>
      <c r="L74" s="2"/>
      <c r="M74" s="2"/>
      <c r="N74" s="2"/>
      <c r="O74" s="2"/>
      <c r="P74" s="2"/>
      <c r="Q74" s="2"/>
      <c r="R74" s="2"/>
      <c r="S74" s="3"/>
      <c r="T74" s="2"/>
      <c r="U74" s="2"/>
      <c r="V74" s="2"/>
      <c r="W74" s="2"/>
      <c r="X74" s="2"/>
      <c r="Y74" s="2"/>
      <c r="Z74" s="2"/>
      <c r="AA74" s="2"/>
      <c r="AB74" s="2"/>
      <c r="AC74" s="2"/>
      <c r="AD74" s="2"/>
      <c r="AE74" s="2"/>
    </row>
    <row r="75" spans="1:31" ht="22.5" customHeight="1" x14ac:dyDescent="0.25">
      <c r="A75" s="8">
        <f t="shared" si="2"/>
        <v>74</v>
      </c>
      <c r="B75" s="24" t="s">
        <v>576</v>
      </c>
      <c r="C75" s="29">
        <v>42165</v>
      </c>
      <c r="D75" s="45">
        <f t="shared" ca="1" si="3"/>
        <v>10</v>
      </c>
      <c r="E75" s="16">
        <v>30</v>
      </c>
      <c r="F75" s="16" t="s">
        <v>19</v>
      </c>
      <c r="G75" s="16" t="s">
        <v>42</v>
      </c>
      <c r="H75" s="16" t="s">
        <v>21</v>
      </c>
      <c r="I75" s="44" t="s">
        <v>620</v>
      </c>
      <c r="J75" s="17" t="s">
        <v>584</v>
      </c>
      <c r="K75" s="39" t="s">
        <v>585</v>
      </c>
      <c r="L75" s="2"/>
      <c r="M75" s="2"/>
      <c r="N75" s="2"/>
      <c r="O75" s="2"/>
      <c r="P75" s="2"/>
      <c r="Q75" s="2"/>
      <c r="R75" s="2"/>
      <c r="S75" s="3"/>
      <c r="T75" s="2"/>
      <c r="U75" s="2"/>
      <c r="V75" s="2"/>
      <c r="W75" s="2"/>
      <c r="X75" s="2"/>
      <c r="Y75" s="2"/>
      <c r="Z75" s="2"/>
      <c r="AA75" s="2"/>
      <c r="AB75" s="2"/>
      <c r="AC75" s="2"/>
      <c r="AD75" s="2"/>
      <c r="AE75" s="2"/>
    </row>
    <row r="76" spans="1:31" ht="22.5" customHeight="1" x14ac:dyDescent="0.25">
      <c r="A76" s="8">
        <f t="shared" si="2"/>
        <v>75</v>
      </c>
      <c r="B76" s="24" t="s">
        <v>579</v>
      </c>
      <c r="C76" s="29">
        <v>42239</v>
      </c>
      <c r="D76" s="45">
        <f t="shared" ca="1" si="3"/>
        <v>10</v>
      </c>
      <c r="E76" s="16">
        <v>32</v>
      </c>
      <c r="F76" s="16" t="s">
        <v>19</v>
      </c>
      <c r="G76" s="16" t="s">
        <v>39</v>
      </c>
      <c r="H76" s="16" t="s">
        <v>21</v>
      </c>
      <c r="I76" s="44" t="s">
        <v>621</v>
      </c>
      <c r="J76" s="17" t="s">
        <v>584</v>
      </c>
      <c r="K76" s="39" t="s">
        <v>585</v>
      </c>
      <c r="L76" s="2"/>
      <c r="M76" s="2"/>
      <c r="N76" s="2"/>
      <c r="O76" s="2"/>
      <c r="P76" s="2"/>
      <c r="Q76" s="2"/>
      <c r="R76" s="2"/>
      <c r="S76" s="3"/>
      <c r="T76" s="2"/>
      <c r="U76" s="2"/>
      <c r="V76" s="2"/>
      <c r="W76" s="2"/>
      <c r="X76" s="2"/>
      <c r="Y76" s="2"/>
      <c r="Z76" s="2"/>
      <c r="AA76" s="2"/>
      <c r="AB76" s="2"/>
      <c r="AC76" s="2"/>
      <c r="AD76" s="2"/>
      <c r="AE76" s="2"/>
    </row>
    <row r="77" spans="1:31" ht="22.5" customHeight="1" x14ac:dyDescent="0.25">
      <c r="A77" s="8">
        <f t="shared" si="2"/>
        <v>76</v>
      </c>
      <c r="B77" s="24" t="s">
        <v>577</v>
      </c>
      <c r="C77" s="29">
        <v>41185</v>
      </c>
      <c r="D77" s="45">
        <f t="shared" ca="1" si="3"/>
        <v>13</v>
      </c>
      <c r="E77" s="16">
        <v>50</v>
      </c>
      <c r="F77" s="16" t="s">
        <v>19</v>
      </c>
      <c r="G77" s="16" t="s">
        <v>32</v>
      </c>
      <c r="H77" s="16" t="s">
        <v>21</v>
      </c>
      <c r="I77" s="44" t="s">
        <v>621</v>
      </c>
      <c r="J77" s="17" t="s">
        <v>584</v>
      </c>
      <c r="K77" s="39" t="s">
        <v>585</v>
      </c>
      <c r="L77" s="2"/>
      <c r="M77" s="2"/>
      <c r="N77" s="2"/>
      <c r="O77" s="2"/>
      <c r="P77" s="2"/>
      <c r="Q77" s="2"/>
      <c r="R77" s="2"/>
      <c r="S77" s="3"/>
      <c r="T77" s="2"/>
      <c r="U77" s="2"/>
      <c r="V77" s="2"/>
      <c r="W77" s="2"/>
      <c r="X77" s="2"/>
      <c r="Y77" s="2"/>
      <c r="Z77" s="2"/>
      <c r="AA77" s="2"/>
      <c r="AB77" s="2"/>
      <c r="AC77" s="2"/>
      <c r="AD77" s="2"/>
      <c r="AE77" s="2"/>
    </row>
    <row r="78" spans="1:31" ht="22.5" customHeight="1" x14ac:dyDescent="0.25">
      <c r="A78" s="8">
        <f t="shared" si="2"/>
        <v>77</v>
      </c>
      <c r="B78" s="24" t="s">
        <v>574</v>
      </c>
      <c r="C78" s="29">
        <v>40380</v>
      </c>
      <c r="D78" s="45">
        <f t="shared" ca="1" si="3"/>
        <v>15</v>
      </c>
      <c r="E78" s="16">
        <v>35</v>
      </c>
      <c r="F78" s="16" t="s">
        <v>25</v>
      </c>
      <c r="G78" s="16" t="s">
        <v>39</v>
      </c>
      <c r="H78" s="16" t="s">
        <v>21</v>
      </c>
      <c r="I78" s="44" t="s">
        <v>620</v>
      </c>
      <c r="J78" s="17" t="s">
        <v>584</v>
      </c>
      <c r="K78" s="39" t="s">
        <v>585</v>
      </c>
      <c r="L78" s="2"/>
      <c r="M78" s="2"/>
      <c r="N78" s="2"/>
      <c r="O78" s="2"/>
      <c r="P78" s="2"/>
      <c r="Q78" s="2"/>
      <c r="R78" s="2"/>
      <c r="S78" s="3"/>
      <c r="T78" s="2"/>
      <c r="U78" s="2"/>
      <c r="V78" s="2"/>
      <c r="W78" s="2"/>
      <c r="X78" s="2"/>
      <c r="Y78" s="2"/>
      <c r="Z78" s="2"/>
      <c r="AA78" s="2"/>
      <c r="AB78" s="2"/>
      <c r="AC78" s="2"/>
      <c r="AD78" s="2"/>
      <c r="AE78" s="2"/>
    </row>
    <row r="79" spans="1:31" ht="22.5" customHeight="1" x14ac:dyDescent="0.25">
      <c r="A79" s="8">
        <f t="shared" si="2"/>
        <v>78</v>
      </c>
      <c r="B79" s="24" t="s">
        <v>575</v>
      </c>
      <c r="C79" s="29">
        <v>40366</v>
      </c>
      <c r="D79" s="45">
        <f t="shared" ca="1" si="3"/>
        <v>15</v>
      </c>
      <c r="E79" s="16">
        <v>45</v>
      </c>
      <c r="F79" s="16" t="s">
        <v>25</v>
      </c>
      <c r="G79" s="16" t="s">
        <v>42</v>
      </c>
      <c r="H79" s="16" t="s">
        <v>21</v>
      </c>
      <c r="I79" s="44" t="s">
        <v>622</v>
      </c>
      <c r="J79" s="17" t="s">
        <v>584</v>
      </c>
      <c r="K79" s="39" t="s">
        <v>585</v>
      </c>
      <c r="L79" s="2"/>
      <c r="M79" s="2"/>
      <c r="N79" s="2"/>
      <c r="O79" s="2"/>
      <c r="P79" s="2"/>
      <c r="Q79" s="2"/>
      <c r="R79" s="2"/>
      <c r="S79" s="3"/>
      <c r="T79" s="2"/>
      <c r="U79" s="2"/>
      <c r="V79" s="2"/>
      <c r="W79" s="2"/>
      <c r="X79" s="2"/>
      <c r="Y79" s="2"/>
      <c r="Z79" s="2"/>
      <c r="AA79" s="2"/>
      <c r="AB79" s="2"/>
      <c r="AC79" s="2"/>
      <c r="AD79" s="2"/>
      <c r="AE79" s="2"/>
    </row>
    <row r="80" spans="1:31" ht="22.5" customHeight="1" x14ac:dyDescent="0.25">
      <c r="A80" s="8">
        <f t="shared" si="2"/>
        <v>79</v>
      </c>
      <c r="B80" s="24" t="s">
        <v>578</v>
      </c>
      <c r="C80" s="29">
        <v>39693</v>
      </c>
      <c r="D80" s="45">
        <f t="shared" ca="1" si="3"/>
        <v>17</v>
      </c>
      <c r="E80" s="16">
        <v>65</v>
      </c>
      <c r="F80" s="16" t="s">
        <v>25</v>
      </c>
      <c r="G80" s="16" t="s">
        <v>39</v>
      </c>
      <c r="H80" s="16" t="s">
        <v>21</v>
      </c>
      <c r="I80" s="44" t="s">
        <v>621</v>
      </c>
      <c r="J80" s="17" t="s">
        <v>584</v>
      </c>
      <c r="K80" s="39" t="s">
        <v>585</v>
      </c>
      <c r="L80" s="2"/>
      <c r="M80" s="2"/>
      <c r="N80" s="2"/>
      <c r="O80" s="2"/>
      <c r="P80" s="2"/>
      <c r="Q80" s="2"/>
      <c r="R80" s="2"/>
      <c r="S80" s="3"/>
      <c r="T80" s="2"/>
      <c r="U80" s="2"/>
      <c r="V80" s="2"/>
      <c r="W80" s="2"/>
      <c r="X80" s="2"/>
      <c r="Y80" s="2"/>
      <c r="Z80" s="2"/>
      <c r="AA80" s="2"/>
      <c r="AB80" s="2"/>
      <c r="AC80" s="2"/>
      <c r="AD80" s="2"/>
      <c r="AE80" s="2"/>
    </row>
    <row r="81" spans="1:31" ht="22.5" customHeight="1" x14ac:dyDescent="0.25">
      <c r="A81" s="8">
        <f t="shared" si="2"/>
        <v>80</v>
      </c>
      <c r="B81" s="24" t="s">
        <v>570</v>
      </c>
      <c r="C81" s="29">
        <v>43427</v>
      </c>
      <c r="D81" s="45">
        <f t="shared" ca="1" si="3"/>
        <v>7</v>
      </c>
      <c r="E81" s="16">
        <v>17</v>
      </c>
      <c r="F81" s="16" t="s">
        <v>19</v>
      </c>
      <c r="G81" s="16" t="s">
        <v>50</v>
      </c>
      <c r="H81" s="16" t="s">
        <v>21</v>
      </c>
      <c r="I81" s="44" t="s">
        <v>622</v>
      </c>
      <c r="J81" s="17" t="s">
        <v>580</v>
      </c>
      <c r="K81" s="39" t="s">
        <v>582</v>
      </c>
      <c r="L81" s="2"/>
      <c r="M81" s="2"/>
      <c r="N81" s="2"/>
      <c r="O81" s="2"/>
      <c r="P81" s="2"/>
      <c r="Q81" s="2"/>
      <c r="R81" s="2"/>
      <c r="S81" s="3"/>
      <c r="T81" s="2"/>
      <c r="U81" s="2"/>
      <c r="V81" s="2"/>
      <c r="W81" s="2"/>
      <c r="X81" s="2"/>
      <c r="Y81" s="2"/>
      <c r="Z81" s="2"/>
      <c r="AA81" s="2"/>
      <c r="AB81" s="2"/>
      <c r="AC81" s="2"/>
      <c r="AD81" s="2"/>
      <c r="AE81" s="2"/>
    </row>
    <row r="82" spans="1:31" ht="22.5" customHeight="1" x14ac:dyDescent="0.25">
      <c r="A82" s="8">
        <f t="shared" si="2"/>
        <v>81</v>
      </c>
      <c r="B82" s="24" t="s">
        <v>568</v>
      </c>
      <c r="C82" s="29">
        <v>40165</v>
      </c>
      <c r="D82" s="45">
        <f t="shared" ca="1" si="3"/>
        <v>16</v>
      </c>
      <c r="E82" s="16">
        <v>40</v>
      </c>
      <c r="F82" s="16" t="s">
        <v>25</v>
      </c>
      <c r="G82" s="16" t="s">
        <v>34</v>
      </c>
      <c r="H82" s="16" t="s">
        <v>21</v>
      </c>
      <c r="I82" s="44" t="s">
        <v>622</v>
      </c>
      <c r="J82" s="17" t="s">
        <v>580</v>
      </c>
      <c r="K82" s="39" t="s">
        <v>582</v>
      </c>
      <c r="L82" s="2"/>
      <c r="M82" s="2"/>
      <c r="N82" s="2"/>
      <c r="O82" s="2"/>
      <c r="P82" s="2"/>
      <c r="Q82" s="2"/>
      <c r="R82" s="2"/>
      <c r="S82" s="3"/>
      <c r="T82" s="2"/>
      <c r="U82" s="2"/>
      <c r="V82" s="2"/>
      <c r="W82" s="2"/>
      <c r="X82" s="2"/>
      <c r="Y82" s="2"/>
      <c r="Z82" s="2"/>
      <c r="AA82" s="2"/>
      <c r="AB82" s="2"/>
      <c r="AC82" s="2"/>
      <c r="AD82" s="2"/>
      <c r="AE82" s="2"/>
    </row>
    <row r="83" spans="1:31" ht="22.5" customHeight="1" x14ac:dyDescent="0.25">
      <c r="A83" s="8">
        <f t="shared" si="2"/>
        <v>82</v>
      </c>
      <c r="B83" s="24" t="s">
        <v>566</v>
      </c>
      <c r="C83" s="29">
        <v>40164</v>
      </c>
      <c r="D83" s="45">
        <f t="shared" ca="1" si="3"/>
        <v>16</v>
      </c>
      <c r="E83" s="16">
        <v>58</v>
      </c>
      <c r="F83" s="16" t="s">
        <v>25</v>
      </c>
      <c r="G83" s="16" t="s">
        <v>37</v>
      </c>
      <c r="H83" s="16" t="s">
        <v>21</v>
      </c>
      <c r="I83" s="44" t="s">
        <v>620</v>
      </c>
      <c r="J83" s="17" t="s">
        <v>580</v>
      </c>
      <c r="K83" s="39" t="s">
        <v>582</v>
      </c>
      <c r="L83" s="2"/>
      <c r="M83" s="2"/>
      <c r="N83" s="2"/>
      <c r="O83" s="2"/>
      <c r="P83" s="2"/>
      <c r="Q83" s="2"/>
      <c r="R83" s="2"/>
      <c r="S83" s="3"/>
      <c r="T83" s="2"/>
      <c r="U83" s="2"/>
      <c r="V83" s="2"/>
      <c r="W83" s="2"/>
      <c r="X83" s="2"/>
      <c r="Y83" s="2"/>
      <c r="Z83" s="2"/>
      <c r="AA83" s="2"/>
      <c r="AB83" s="2"/>
      <c r="AC83" s="2"/>
      <c r="AD83" s="2"/>
      <c r="AE83" s="2"/>
    </row>
    <row r="84" spans="1:31" ht="22.5" customHeight="1" x14ac:dyDescent="0.25">
      <c r="A84" s="8">
        <f t="shared" si="2"/>
        <v>83</v>
      </c>
      <c r="B84" s="24" t="s">
        <v>27</v>
      </c>
      <c r="C84" s="27">
        <v>43131</v>
      </c>
      <c r="D84" s="45">
        <f t="shared" ca="1" si="3"/>
        <v>8</v>
      </c>
      <c r="E84" s="4">
        <v>31</v>
      </c>
      <c r="F84" s="4" t="s">
        <v>19</v>
      </c>
      <c r="G84" s="4" t="s">
        <v>28</v>
      </c>
      <c r="H84" s="4" t="s">
        <v>21</v>
      </c>
      <c r="I84" s="44" t="s">
        <v>620</v>
      </c>
      <c r="J84" s="5" t="s">
        <v>22</v>
      </c>
      <c r="K84" s="36" t="s">
        <v>29</v>
      </c>
      <c r="L84" s="2"/>
      <c r="M84" s="2"/>
      <c r="N84" s="2"/>
      <c r="O84" s="2"/>
      <c r="P84" s="2"/>
      <c r="Q84" s="2"/>
      <c r="R84" s="2"/>
      <c r="S84" s="3"/>
      <c r="T84" s="2"/>
      <c r="U84" s="2"/>
      <c r="V84" s="2"/>
      <c r="W84" s="2"/>
      <c r="X84" s="2"/>
      <c r="Y84" s="2"/>
      <c r="Z84" s="2"/>
      <c r="AA84" s="2"/>
      <c r="AB84" s="2"/>
      <c r="AC84" s="2"/>
      <c r="AD84" s="2"/>
      <c r="AE84" s="2"/>
    </row>
    <row r="85" spans="1:31" ht="22.5" customHeight="1" x14ac:dyDescent="0.25">
      <c r="A85" s="8">
        <f t="shared" si="2"/>
        <v>84</v>
      </c>
      <c r="B85" s="24" t="s">
        <v>79</v>
      </c>
      <c r="C85" s="27">
        <v>42621</v>
      </c>
      <c r="D85" s="45">
        <f t="shared" ca="1" si="3"/>
        <v>9</v>
      </c>
      <c r="E85" s="4">
        <v>28</v>
      </c>
      <c r="F85" s="4" t="s">
        <v>19</v>
      </c>
      <c r="G85" s="4" t="s">
        <v>28</v>
      </c>
      <c r="H85" s="4" t="s">
        <v>21</v>
      </c>
      <c r="I85" s="44" t="s">
        <v>621</v>
      </c>
      <c r="J85" s="5" t="s">
        <v>22</v>
      </c>
      <c r="K85" s="36" t="s">
        <v>29</v>
      </c>
      <c r="L85" s="2"/>
      <c r="M85" s="2"/>
      <c r="N85" s="2"/>
      <c r="O85" s="2"/>
      <c r="P85" s="2"/>
      <c r="Q85" s="2"/>
      <c r="R85" s="2"/>
      <c r="S85" s="3"/>
      <c r="T85" s="2"/>
      <c r="U85" s="2"/>
      <c r="V85" s="2"/>
      <c r="W85" s="2"/>
      <c r="X85" s="2"/>
      <c r="Y85" s="2"/>
      <c r="Z85" s="2"/>
      <c r="AA85" s="2"/>
      <c r="AB85" s="2"/>
      <c r="AC85" s="2"/>
      <c r="AD85" s="2"/>
      <c r="AE85" s="2"/>
    </row>
    <row r="86" spans="1:31" ht="22.5" customHeight="1" x14ac:dyDescent="0.25">
      <c r="A86" s="8">
        <f t="shared" si="2"/>
        <v>85</v>
      </c>
      <c r="B86" s="24" t="s">
        <v>90</v>
      </c>
      <c r="C86" s="27">
        <v>41846</v>
      </c>
      <c r="D86" s="45">
        <f t="shared" ca="1" si="3"/>
        <v>11</v>
      </c>
      <c r="E86" s="4">
        <v>30</v>
      </c>
      <c r="F86" s="4" t="s">
        <v>25</v>
      </c>
      <c r="G86" s="4" t="s">
        <v>28</v>
      </c>
      <c r="H86" s="4" t="s">
        <v>21</v>
      </c>
      <c r="I86" s="44" t="s">
        <v>621</v>
      </c>
      <c r="J86" s="5" t="s">
        <v>22</v>
      </c>
      <c r="K86" s="36" t="s">
        <v>29</v>
      </c>
      <c r="L86" s="2"/>
      <c r="M86" s="2"/>
      <c r="N86" s="2"/>
      <c r="O86" s="2"/>
      <c r="P86" s="2"/>
      <c r="Q86" s="2"/>
      <c r="R86" s="2"/>
      <c r="S86" s="3"/>
      <c r="T86" s="2"/>
      <c r="U86" s="2"/>
      <c r="V86" s="2"/>
      <c r="W86" s="2"/>
      <c r="X86" s="2"/>
      <c r="Y86" s="2"/>
      <c r="Z86" s="2"/>
      <c r="AA86" s="2"/>
      <c r="AB86" s="2"/>
      <c r="AC86" s="2"/>
      <c r="AD86" s="2"/>
      <c r="AE86" s="2"/>
    </row>
    <row r="87" spans="1:31" ht="22.5" customHeight="1" x14ac:dyDescent="0.25">
      <c r="A87" s="8">
        <f t="shared" si="2"/>
        <v>86</v>
      </c>
      <c r="B87" s="24" t="s">
        <v>97</v>
      </c>
      <c r="C87" s="27">
        <v>41654</v>
      </c>
      <c r="D87" s="45">
        <f t="shared" ca="1" si="3"/>
        <v>12</v>
      </c>
      <c r="E87" s="4">
        <v>55</v>
      </c>
      <c r="F87" s="4" t="s">
        <v>19</v>
      </c>
      <c r="G87" s="4" t="s">
        <v>34</v>
      </c>
      <c r="H87" s="4" t="s">
        <v>21</v>
      </c>
      <c r="I87" s="44" t="s">
        <v>620</v>
      </c>
      <c r="J87" s="5" t="s">
        <v>22</v>
      </c>
      <c r="K87" s="36" t="s">
        <v>29</v>
      </c>
      <c r="L87" s="2"/>
      <c r="M87" s="2"/>
      <c r="N87" s="2"/>
      <c r="O87" s="2"/>
      <c r="P87" s="2"/>
      <c r="Q87" s="2"/>
      <c r="R87" s="2"/>
      <c r="S87" s="3"/>
      <c r="T87" s="2"/>
      <c r="U87" s="2"/>
      <c r="V87" s="2"/>
      <c r="W87" s="2"/>
      <c r="X87" s="2"/>
      <c r="Y87" s="2"/>
      <c r="Z87" s="2"/>
      <c r="AA87" s="2"/>
      <c r="AB87" s="2"/>
      <c r="AC87" s="2"/>
      <c r="AD87" s="2"/>
      <c r="AE87" s="2"/>
    </row>
    <row r="88" spans="1:31" ht="22.5" customHeight="1" x14ac:dyDescent="0.25">
      <c r="A88" s="8">
        <f t="shared" si="2"/>
        <v>87</v>
      </c>
      <c r="B88" s="24" t="s">
        <v>210</v>
      </c>
      <c r="C88" s="27">
        <v>41511</v>
      </c>
      <c r="D88" s="45">
        <f t="shared" ca="1" si="3"/>
        <v>12</v>
      </c>
      <c r="E88" s="4">
        <v>35</v>
      </c>
      <c r="F88" s="4" t="s">
        <v>25</v>
      </c>
      <c r="G88" s="4" t="s">
        <v>20</v>
      </c>
      <c r="H88" s="4" t="s">
        <v>21</v>
      </c>
      <c r="I88" s="44" t="s">
        <v>622</v>
      </c>
      <c r="J88" s="5" t="s">
        <v>22</v>
      </c>
      <c r="K88" s="36" t="s">
        <v>29</v>
      </c>
      <c r="L88" s="2"/>
      <c r="M88" s="2"/>
      <c r="N88" s="2"/>
      <c r="O88" s="2"/>
      <c r="P88" s="2"/>
      <c r="Q88" s="2"/>
      <c r="R88" s="2"/>
      <c r="S88" s="3"/>
      <c r="T88" s="2"/>
      <c r="U88" s="2"/>
      <c r="V88" s="2"/>
      <c r="W88" s="2"/>
      <c r="X88" s="2"/>
      <c r="Y88" s="2"/>
      <c r="Z88" s="2"/>
      <c r="AA88" s="2"/>
      <c r="AB88" s="2"/>
      <c r="AC88" s="2"/>
      <c r="AD88" s="2"/>
      <c r="AE88" s="2"/>
    </row>
    <row r="89" spans="1:31" ht="22.5" customHeight="1" x14ac:dyDescent="0.25">
      <c r="A89" s="8">
        <f t="shared" si="2"/>
        <v>88</v>
      </c>
      <c r="B89" s="24" t="s">
        <v>183</v>
      </c>
      <c r="C89" s="27">
        <v>43176</v>
      </c>
      <c r="D89" s="45">
        <f t="shared" ca="1" si="3"/>
        <v>8</v>
      </c>
      <c r="E89" s="4">
        <v>27</v>
      </c>
      <c r="F89" s="4" t="s">
        <v>19</v>
      </c>
      <c r="G89" s="4" t="s">
        <v>42</v>
      </c>
      <c r="H89" s="4" t="s">
        <v>21</v>
      </c>
      <c r="I89" s="44" t="s">
        <v>621</v>
      </c>
      <c r="J89" s="5" t="s">
        <v>129</v>
      </c>
      <c r="K89" s="36" t="s">
        <v>130</v>
      </c>
      <c r="L89" s="2"/>
      <c r="M89" s="2"/>
      <c r="N89" s="2"/>
      <c r="O89" s="2"/>
      <c r="P89" s="2"/>
      <c r="Q89" s="2"/>
      <c r="R89" s="2"/>
      <c r="S89" s="3"/>
      <c r="T89" s="2"/>
      <c r="U89" s="2"/>
      <c r="V89" s="2"/>
      <c r="W89" s="2"/>
      <c r="X89" s="2"/>
      <c r="Y89" s="2"/>
      <c r="Z89" s="2"/>
      <c r="AA89" s="2"/>
      <c r="AB89" s="2"/>
      <c r="AC89" s="2"/>
      <c r="AD89" s="2"/>
      <c r="AE89" s="2"/>
    </row>
    <row r="90" spans="1:31" ht="22.5" customHeight="1" x14ac:dyDescent="0.25">
      <c r="A90" s="8">
        <f t="shared" si="2"/>
        <v>89</v>
      </c>
      <c r="B90" s="24" t="s">
        <v>131</v>
      </c>
      <c r="C90" s="27">
        <v>43266</v>
      </c>
      <c r="D90" s="45">
        <f t="shared" ca="1" si="3"/>
        <v>7</v>
      </c>
      <c r="E90" s="4">
        <v>29</v>
      </c>
      <c r="F90" s="4" t="s">
        <v>19</v>
      </c>
      <c r="G90" s="4" t="s">
        <v>42</v>
      </c>
      <c r="H90" s="4" t="s">
        <v>21</v>
      </c>
      <c r="I90" s="44" t="s">
        <v>622</v>
      </c>
      <c r="J90" s="5" t="s">
        <v>129</v>
      </c>
      <c r="K90" s="40" t="s">
        <v>130</v>
      </c>
      <c r="L90" s="2"/>
      <c r="M90" s="2"/>
      <c r="N90" s="2"/>
      <c r="O90" s="2"/>
      <c r="P90" s="2"/>
      <c r="Q90" s="2"/>
      <c r="R90" s="2"/>
      <c r="S90" s="3"/>
      <c r="T90" s="2"/>
      <c r="U90" s="2"/>
      <c r="V90" s="2"/>
      <c r="W90" s="2"/>
      <c r="X90" s="2"/>
      <c r="Y90" s="2"/>
      <c r="Z90" s="2"/>
      <c r="AA90" s="2"/>
      <c r="AB90" s="2"/>
      <c r="AC90" s="2"/>
      <c r="AD90" s="2"/>
      <c r="AE90" s="2"/>
    </row>
    <row r="91" spans="1:31" ht="22.5" customHeight="1" x14ac:dyDescent="0.25">
      <c r="A91" s="8">
        <f t="shared" si="2"/>
        <v>90</v>
      </c>
      <c r="B91" s="24" t="s">
        <v>321</v>
      </c>
      <c r="C91" s="27">
        <v>42870</v>
      </c>
      <c r="D91" s="45">
        <f t="shared" ca="1" si="3"/>
        <v>8</v>
      </c>
      <c r="E91" s="4">
        <v>25</v>
      </c>
      <c r="F91" s="4" t="s">
        <v>25</v>
      </c>
      <c r="G91" s="4" t="s">
        <v>39</v>
      </c>
      <c r="H91" s="4" t="s">
        <v>21</v>
      </c>
      <c r="I91" s="44" t="s">
        <v>622</v>
      </c>
      <c r="J91" s="5" t="s">
        <v>129</v>
      </c>
      <c r="K91" s="36" t="s">
        <v>130</v>
      </c>
      <c r="L91" s="2"/>
      <c r="M91" s="2"/>
      <c r="N91" s="2"/>
      <c r="O91" s="2"/>
      <c r="P91" s="2"/>
      <c r="Q91" s="2"/>
      <c r="R91" s="2"/>
      <c r="S91" s="3"/>
      <c r="T91" s="2"/>
      <c r="U91" s="2"/>
      <c r="V91" s="2"/>
      <c r="W91" s="2"/>
      <c r="X91" s="2"/>
      <c r="Y91" s="2"/>
      <c r="Z91" s="2"/>
      <c r="AA91" s="2"/>
      <c r="AB91" s="2"/>
      <c r="AC91" s="2"/>
      <c r="AD91" s="2"/>
      <c r="AE91" s="2"/>
    </row>
    <row r="92" spans="1:31" ht="22.5" customHeight="1" x14ac:dyDescent="0.25">
      <c r="A92" s="8">
        <f t="shared" si="2"/>
        <v>91</v>
      </c>
      <c r="B92" s="24" t="s">
        <v>234</v>
      </c>
      <c r="C92" s="27">
        <v>42492</v>
      </c>
      <c r="D92" s="45">
        <f t="shared" ca="1" si="3"/>
        <v>9</v>
      </c>
      <c r="E92" s="4">
        <v>29</v>
      </c>
      <c r="F92" s="4" t="s">
        <v>25</v>
      </c>
      <c r="G92" s="4" t="s">
        <v>42</v>
      </c>
      <c r="H92" s="4" t="s">
        <v>21</v>
      </c>
      <c r="I92" s="44" t="s">
        <v>620</v>
      </c>
      <c r="J92" s="5" t="s">
        <v>129</v>
      </c>
      <c r="K92" s="36" t="s">
        <v>130</v>
      </c>
      <c r="L92" s="2"/>
      <c r="M92" s="2"/>
      <c r="N92" s="2"/>
      <c r="O92" s="2"/>
      <c r="P92" s="2"/>
      <c r="Q92" s="2"/>
      <c r="R92" s="2"/>
      <c r="S92" s="3"/>
      <c r="T92" s="2"/>
      <c r="U92" s="2"/>
      <c r="V92" s="2"/>
      <c r="W92" s="2"/>
      <c r="X92" s="2"/>
      <c r="Y92" s="2"/>
      <c r="Z92" s="2"/>
      <c r="AA92" s="2"/>
      <c r="AB92" s="2"/>
      <c r="AC92" s="2"/>
      <c r="AD92" s="2"/>
      <c r="AE92" s="2"/>
    </row>
    <row r="93" spans="1:31" ht="22.5" customHeight="1" x14ac:dyDescent="0.25">
      <c r="A93" s="8">
        <f t="shared" si="2"/>
        <v>92</v>
      </c>
      <c r="B93" s="24" t="s">
        <v>128</v>
      </c>
      <c r="C93" s="27">
        <v>42252</v>
      </c>
      <c r="D93" s="45">
        <f t="shared" ca="1" si="3"/>
        <v>10</v>
      </c>
      <c r="E93" s="4">
        <v>48</v>
      </c>
      <c r="F93" s="4" t="s">
        <v>25</v>
      </c>
      <c r="G93" s="4" t="s">
        <v>28</v>
      </c>
      <c r="H93" s="4" t="s">
        <v>21</v>
      </c>
      <c r="I93" s="44" t="s">
        <v>620</v>
      </c>
      <c r="J93" s="5" t="s">
        <v>129</v>
      </c>
      <c r="K93" s="36" t="s">
        <v>130</v>
      </c>
      <c r="L93" s="2"/>
      <c r="M93" s="2"/>
      <c r="N93" s="2"/>
      <c r="O93" s="2"/>
      <c r="P93" s="2"/>
      <c r="Q93" s="2"/>
      <c r="R93" s="2"/>
      <c r="S93" s="3"/>
      <c r="T93" s="2"/>
      <c r="U93" s="2"/>
      <c r="V93" s="2"/>
      <c r="W93" s="2"/>
      <c r="X93" s="2"/>
      <c r="Y93" s="2"/>
      <c r="Z93" s="2"/>
      <c r="AA93" s="2"/>
      <c r="AB93" s="2"/>
      <c r="AC93" s="2"/>
      <c r="AD93" s="2"/>
      <c r="AE93" s="2"/>
    </row>
    <row r="94" spans="1:31" ht="22.5" customHeight="1" x14ac:dyDescent="0.25">
      <c r="A94" s="8">
        <f t="shared" si="2"/>
        <v>93</v>
      </c>
      <c r="B94" s="24" t="s">
        <v>588</v>
      </c>
      <c r="C94" s="27">
        <v>42194</v>
      </c>
      <c r="D94" s="45">
        <f t="shared" ca="1" si="3"/>
        <v>10</v>
      </c>
      <c r="E94" s="4">
        <v>51</v>
      </c>
      <c r="F94" s="18" t="s">
        <v>25</v>
      </c>
      <c r="G94" s="18" t="s">
        <v>42</v>
      </c>
      <c r="H94" s="18" t="s">
        <v>21</v>
      </c>
      <c r="I94" s="44" t="s">
        <v>621</v>
      </c>
      <c r="J94" s="19" t="s">
        <v>129</v>
      </c>
      <c r="K94" s="37" t="s">
        <v>130</v>
      </c>
      <c r="L94" s="2"/>
      <c r="M94" s="2"/>
      <c r="N94" s="2"/>
      <c r="O94" s="2"/>
      <c r="P94" s="2"/>
      <c r="Q94" s="2"/>
      <c r="R94" s="2"/>
      <c r="S94" s="3"/>
      <c r="T94" s="2"/>
      <c r="U94" s="2"/>
      <c r="V94" s="2"/>
      <c r="W94" s="2"/>
      <c r="X94" s="2"/>
      <c r="Y94" s="2"/>
      <c r="Z94" s="2"/>
      <c r="AA94" s="2"/>
      <c r="AB94" s="2"/>
      <c r="AC94" s="2"/>
      <c r="AD94" s="2"/>
      <c r="AE94" s="2"/>
    </row>
    <row r="95" spans="1:31" ht="22.5" customHeight="1" x14ac:dyDescent="0.25">
      <c r="A95" s="8">
        <f t="shared" si="2"/>
        <v>94</v>
      </c>
      <c r="B95" s="24" t="s">
        <v>235</v>
      </c>
      <c r="C95" s="27">
        <v>42031</v>
      </c>
      <c r="D95" s="45">
        <f t="shared" ca="1" si="3"/>
        <v>11</v>
      </c>
      <c r="E95" s="4">
        <v>24</v>
      </c>
      <c r="F95" s="4" t="s">
        <v>19</v>
      </c>
      <c r="G95" s="4" t="s">
        <v>50</v>
      </c>
      <c r="H95" s="4" t="s">
        <v>21</v>
      </c>
      <c r="I95" s="44" t="s">
        <v>621</v>
      </c>
      <c r="J95" s="5" t="s">
        <v>129</v>
      </c>
      <c r="K95" s="36" t="s">
        <v>130</v>
      </c>
      <c r="L95" s="2"/>
      <c r="M95" s="2"/>
      <c r="N95" s="2"/>
      <c r="O95" s="2"/>
      <c r="P95" s="2"/>
      <c r="Q95" s="2"/>
      <c r="R95" s="2"/>
      <c r="S95" s="3"/>
      <c r="T95" s="2"/>
      <c r="U95" s="2"/>
      <c r="V95" s="2"/>
      <c r="W95" s="2"/>
      <c r="X95" s="2"/>
      <c r="Y95" s="2"/>
      <c r="Z95" s="2"/>
      <c r="AA95" s="2"/>
      <c r="AB95" s="2"/>
      <c r="AC95" s="2"/>
      <c r="AD95" s="2"/>
      <c r="AE95" s="2"/>
    </row>
    <row r="96" spans="1:31" ht="22.5" customHeight="1" x14ac:dyDescent="0.25">
      <c r="A96" s="8">
        <f t="shared" si="2"/>
        <v>95</v>
      </c>
      <c r="B96" s="24" t="s">
        <v>526</v>
      </c>
      <c r="C96" s="27">
        <v>41897</v>
      </c>
      <c r="D96" s="45">
        <f t="shared" ca="1" si="3"/>
        <v>11</v>
      </c>
      <c r="E96" s="4">
        <v>29</v>
      </c>
      <c r="F96" s="4" t="s">
        <v>19</v>
      </c>
      <c r="G96" s="4" t="s">
        <v>28</v>
      </c>
      <c r="H96" s="4" t="s">
        <v>21</v>
      </c>
      <c r="I96" s="44" t="s">
        <v>620</v>
      </c>
      <c r="J96" s="5" t="s">
        <v>129</v>
      </c>
      <c r="K96" s="36" t="s">
        <v>130</v>
      </c>
      <c r="L96" s="2"/>
      <c r="M96" s="2"/>
      <c r="N96" s="2"/>
      <c r="O96" s="2"/>
      <c r="P96" s="2"/>
      <c r="Q96" s="2"/>
      <c r="R96" s="2"/>
      <c r="S96" s="3"/>
      <c r="T96" s="2"/>
      <c r="U96" s="2"/>
      <c r="V96" s="2"/>
      <c r="W96" s="2"/>
      <c r="X96" s="2"/>
      <c r="Y96" s="2"/>
      <c r="Z96" s="2"/>
      <c r="AA96" s="2"/>
      <c r="AB96" s="2"/>
      <c r="AC96" s="2"/>
      <c r="AD96" s="2"/>
      <c r="AE96" s="2"/>
    </row>
    <row r="97" spans="1:31" ht="22.5" customHeight="1" x14ac:dyDescent="0.25">
      <c r="A97" s="8">
        <f t="shared" si="2"/>
        <v>96</v>
      </c>
      <c r="B97" s="24" t="s">
        <v>190</v>
      </c>
      <c r="C97" s="27">
        <v>41297</v>
      </c>
      <c r="D97" s="45">
        <f t="shared" ca="1" si="3"/>
        <v>13</v>
      </c>
      <c r="E97" s="4">
        <v>41</v>
      </c>
      <c r="F97" s="4" t="s">
        <v>25</v>
      </c>
      <c r="G97" s="4" t="s">
        <v>42</v>
      </c>
      <c r="H97" s="4" t="s">
        <v>21</v>
      </c>
      <c r="I97" s="44" t="s">
        <v>622</v>
      </c>
      <c r="J97" s="5" t="s">
        <v>129</v>
      </c>
      <c r="K97" s="36" t="s">
        <v>130</v>
      </c>
      <c r="L97" s="2"/>
      <c r="M97" s="2"/>
      <c r="N97" s="2"/>
      <c r="O97" s="2"/>
      <c r="P97" s="2"/>
      <c r="Q97" s="2"/>
      <c r="R97" s="2"/>
      <c r="S97" s="3"/>
      <c r="T97" s="2"/>
      <c r="U97" s="2"/>
      <c r="V97" s="2"/>
      <c r="W97" s="2"/>
      <c r="X97" s="2"/>
      <c r="Y97" s="2"/>
      <c r="Z97" s="2"/>
      <c r="AA97" s="2"/>
      <c r="AB97" s="2"/>
      <c r="AC97" s="2"/>
      <c r="AD97" s="2"/>
      <c r="AE97" s="2"/>
    </row>
    <row r="98" spans="1:31" ht="22.5" customHeight="1" x14ac:dyDescent="0.25">
      <c r="A98" s="8">
        <f t="shared" si="2"/>
        <v>97</v>
      </c>
      <c r="B98" s="24" t="s">
        <v>233</v>
      </c>
      <c r="C98" s="27">
        <v>41406</v>
      </c>
      <c r="D98" s="45">
        <f t="shared" ca="1" si="3"/>
        <v>12</v>
      </c>
      <c r="E98" s="4">
        <v>55</v>
      </c>
      <c r="F98" s="4" t="s">
        <v>25</v>
      </c>
      <c r="G98" s="4" t="s">
        <v>34</v>
      </c>
      <c r="H98" s="4" t="s">
        <v>21</v>
      </c>
      <c r="I98" s="44" t="s">
        <v>621</v>
      </c>
      <c r="J98" s="5" t="s">
        <v>129</v>
      </c>
      <c r="K98" s="36" t="s">
        <v>130</v>
      </c>
      <c r="L98" s="2"/>
      <c r="M98" s="2"/>
      <c r="N98" s="2"/>
      <c r="O98" s="2"/>
      <c r="P98" s="2"/>
      <c r="Q98" s="2"/>
      <c r="R98" s="2"/>
      <c r="S98" s="3"/>
      <c r="T98" s="2"/>
      <c r="U98" s="2"/>
      <c r="V98" s="2"/>
      <c r="W98" s="2"/>
      <c r="X98" s="2"/>
      <c r="Y98" s="2"/>
      <c r="Z98" s="2"/>
      <c r="AA98" s="2"/>
      <c r="AB98" s="2"/>
      <c r="AC98" s="2"/>
      <c r="AD98" s="2"/>
      <c r="AE98" s="2"/>
    </row>
    <row r="99" spans="1:31" ht="22.5" customHeight="1" x14ac:dyDescent="0.25">
      <c r="A99" s="8">
        <f t="shared" si="2"/>
        <v>98</v>
      </c>
      <c r="B99" s="24" t="s">
        <v>380</v>
      </c>
      <c r="C99" s="27">
        <v>41518</v>
      </c>
      <c r="D99" s="45">
        <f t="shared" ca="1" si="3"/>
        <v>12</v>
      </c>
      <c r="E99" s="4">
        <v>34</v>
      </c>
      <c r="F99" s="4" t="s">
        <v>19</v>
      </c>
      <c r="G99" s="4" t="s">
        <v>42</v>
      </c>
      <c r="H99" s="4" t="s">
        <v>21</v>
      </c>
      <c r="I99" s="44" t="s">
        <v>622</v>
      </c>
      <c r="J99" s="5" t="s">
        <v>129</v>
      </c>
      <c r="K99" s="36" t="s">
        <v>130</v>
      </c>
      <c r="L99" s="2"/>
      <c r="M99" s="2"/>
      <c r="N99" s="2"/>
      <c r="O99" s="2"/>
      <c r="P99" s="2"/>
      <c r="Q99" s="2"/>
      <c r="R99" s="2"/>
      <c r="S99" s="3"/>
      <c r="T99" s="2"/>
      <c r="U99" s="2"/>
      <c r="V99" s="2"/>
      <c r="W99" s="2"/>
      <c r="X99" s="2"/>
      <c r="Y99" s="2"/>
      <c r="Z99" s="2"/>
      <c r="AA99" s="2"/>
      <c r="AB99" s="2"/>
      <c r="AC99" s="2"/>
      <c r="AD99" s="2"/>
      <c r="AE99" s="2"/>
    </row>
    <row r="100" spans="1:31" ht="22.5" customHeight="1" x14ac:dyDescent="0.25">
      <c r="A100" s="8">
        <f t="shared" si="2"/>
        <v>99</v>
      </c>
      <c r="B100" s="24" t="s">
        <v>232</v>
      </c>
      <c r="C100" s="27">
        <v>41295</v>
      </c>
      <c r="D100" s="45">
        <f t="shared" ca="1" si="3"/>
        <v>13</v>
      </c>
      <c r="E100" s="4">
        <v>44</v>
      </c>
      <c r="F100" s="4" t="s">
        <v>19</v>
      </c>
      <c r="G100" s="4" t="s">
        <v>32</v>
      </c>
      <c r="H100" s="4" t="s">
        <v>21</v>
      </c>
      <c r="I100" s="44" t="s">
        <v>622</v>
      </c>
      <c r="J100" s="5" t="s">
        <v>129</v>
      </c>
      <c r="K100" s="36" t="s">
        <v>130</v>
      </c>
      <c r="L100" s="2"/>
      <c r="M100" s="2"/>
      <c r="N100" s="2"/>
      <c r="O100" s="2"/>
      <c r="P100" s="2"/>
      <c r="Q100" s="2"/>
      <c r="R100" s="2"/>
      <c r="S100" s="3"/>
      <c r="T100" s="2"/>
      <c r="U100" s="2"/>
      <c r="V100" s="2"/>
      <c r="W100" s="2"/>
      <c r="X100" s="2"/>
      <c r="Y100" s="2"/>
      <c r="Z100" s="2"/>
      <c r="AA100" s="2"/>
      <c r="AB100" s="2"/>
      <c r="AC100" s="2"/>
      <c r="AD100" s="2"/>
      <c r="AE100" s="2"/>
    </row>
    <row r="101" spans="1:31" ht="22.5" customHeight="1" x14ac:dyDescent="0.25">
      <c r="A101" s="8">
        <f t="shared" si="2"/>
        <v>100</v>
      </c>
      <c r="B101" s="24" t="s">
        <v>231</v>
      </c>
      <c r="C101" s="27">
        <v>41427</v>
      </c>
      <c r="D101" s="45">
        <f t="shared" ca="1" si="3"/>
        <v>12</v>
      </c>
      <c r="E101" s="4">
        <v>65</v>
      </c>
      <c r="F101" s="4" t="s">
        <v>19</v>
      </c>
      <c r="G101" s="4" t="s">
        <v>32</v>
      </c>
      <c r="H101" s="4" t="s">
        <v>21</v>
      </c>
      <c r="I101" s="44" t="s">
        <v>620</v>
      </c>
      <c r="J101" s="5" t="s">
        <v>129</v>
      </c>
      <c r="K101" s="36" t="s">
        <v>130</v>
      </c>
      <c r="L101" s="2"/>
      <c r="M101" s="2"/>
      <c r="N101" s="2"/>
      <c r="O101" s="2"/>
      <c r="P101" s="2"/>
      <c r="Q101" s="2"/>
      <c r="R101" s="2"/>
      <c r="S101" s="3"/>
      <c r="T101" s="2"/>
      <c r="U101" s="2"/>
      <c r="V101" s="2"/>
      <c r="W101" s="2"/>
      <c r="X101" s="2"/>
      <c r="Y101" s="2"/>
      <c r="Z101" s="2"/>
      <c r="AA101" s="2"/>
      <c r="AB101" s="2"/>
      <c r="AC101" s="2"/>
      <c r="AD101" s="2"/>
      <c r="AE101" s="2"/>
    </row>
    <row r="102" spans="1:31" ht="22.5" customHeight="1" x14ac:dyDescent="0.25">
      <c r="A102" s="8">
        <f t="shared" si="2"/>
        <v>101</v>
      </c>
      <c r="B102" s="24" t="s">
        <v>191</v>
      </c>
      <c r="C102" s="27">
        <v>41169</v>
      </c>
      <c r="D102" s="45">
        <f t="shared" ca="1" si="3"/>
        <v>13</v>
      </c>
      <c r="E102" s="4">
        <v>37</v>
      </c>
      <c r="F102" s="4" t="s">
        <v>19</v>
      </c>
      <c r="G102" s="4" t="s">
        <v>61</v>
      </c>
      <c r="H102" s="4" t="s">
        <v>21</v>
      </c>
      <c r="I102" s="44" t="s">
        <v>620</v>
      </c>
      <c r="J102" s="5" t="s">
        <v>129</v>
      </c>
      <c r="K102" s="36" t="s">
        <v>130</v>
      </c>
      <c r="L102" s="2"/>
      <c r="M102" s="2"/>
      <c r="N102" s="2"/>
      <c r="O102" s="2"/>
      <c r="P102" s="2"/>
      <c r="Q102" s="2"/>
      <c r="R102" s="2"/>
      <c r="S102" s="3"/>
      <c r="T102" s="2"/>
      <c r="U102" s="2"/>
      <c r="V102" s="2"/>
      <c r="W102" s="2"/>
      <c r="X102" s="2"/>
      <c r="Y102" s="2"/>
      <c r="Z102" s="2"/>
      <c r="AA102" s="2"/>
      <c r="AB102" s="2"/>
      <c r="AC102" s="2"/>
      <c r="AD102" s="2"/>
      <c r="AE102" s="2"/>
    </row>
    <row r="103" spans="1:31" ht="22.5" customHeight="1" x14ac:dyDescent="0.25">
      <c r="A103" s="8">
        <f t="shared" si="2"/>
        <v>102</v>
      </c>
      <c r="B103" s="24" t="s">
        <v>485</v>
      </c>
      <c r="C103" s="27">
        <v>41079</v>
      </c>
      <c r="D103" s="45">
        <f t="shared" ca="1" si="3"/>
        <v>13</v>
      </c>
      <c r="E103" s="4">
        <v>37</v>
      </c>
      <c r="F103" s="4" t="s">
        <v>19</v>
      </c>
      <c r="G103" s="4" t="s">
        <v>37</v>
      </c>
      <c r="H103" s="4" t="s">
        <v>21</v>
      </c>
      <c r="I103" s="44" t="s">
        <v>621</v>
      </c>
      <c r="J103" s="5" t="s">
        <v>129</v>
      </c>
      <c r="K103" s="36" t="s">
        <v>130</v>
      </c>
      <c r="L103" s="2"/>
      <c r="M103" s="2"/>
      <c r="N103" s="2"/>
      <c r="O103" s="2"/>
      <c r="P103" s="2"/>
      <c r="Q103" s="2"/>
      <c r="R103" s="2"/>
      <c r="S103" s="3"/>
      <c r="T103" s="2"/>
      <c r="U103" s="2"/>
      <c r="V103" s="2"/>
      <c r="W103" s="2"/>
      <c r="X103" s="2"/>
      <c r="Y103" s="2"/>
      <c r="Z103" s="2"/>
      <c r="AA103" s="2"/>
      <c r="AB103" s="2"/>
      <c r="AC103" s="2"/>
      <c r="AD103" s="2"/>
      <c r="AE103" s="2"/>
    </row>
    <row r="104" spans="1:31" ht="22.5" customHeight="1" x14ac:dyDescent="0.25">
      <c r="A104" s="8">
        <f t="shared" si="2"/>
        <v>103</v>
      </c>
      <c r="B104" s="24" t="s">
        <v>598</v>
      </c>
      <c r="C104" s="27">
        <v>40524</v>
      </c>
      <c r="D104" s="45">
        <f t="shared" ca="1" si="3"/>
        <v>15</v>
      </c>
      <c r="E104" s="4">
        <v>42</v>
      </c>
      <c r="F104" s="4" t="s">
        <v>25</v>
      </c>
      <c r="G104" s="4" t="s">
        <v>34</v>
      </c>
      <c r="H104" s="4" t="s">
        <v>21</v>
      </c>
      <c r="I104" s="44" t="s">
        <v>621</v>
      </c>
      <c r="J104" s="5" t="s">
        <v>129</v>
      </c>
      <c r="K104" s="36" t="s">
        <v>130</v>
      </c>
      <c r="L104" s="2"/>
      <c r="M104" s="2"/>
      <c r="N104" s="2"/>
      <c r="O104" s="2"/>
      <c r="P104" s="2"/>
      <c r="Q104" s="2"/>
      <c r="R104" s="2"/>
      <c r="S104" s="3"/>
      <c r="T104" s="2"/>
      <c r="U104" s="2"/>
      <c r="V104" s="2"/>
      <c r="W104" s="2"/>
      <c r="X104" s="2"/>
      <c r="Y104" s="2"/>
      <c r="Z104" s="2"/>
      <c r="AA104" s="2"/>
      <c r="AB104" s="2"/>
      <c r="AC104" s="2"/>
      <c r="AD104" s="2"/>
      <c r="AE104" s="2"/>
    </row>
    <row r="105" spans="1:31" ht="22.5" customHeight="1" x14ac:dyDescent="0.25">
      <c r="A105" s="8">
        <f t="shared" si="2"/>
        <v>104</v>
      </c>
      <c r="B105" s="24" t="s">
        <v>219</v>
      </c>
      <c r="C105" s="27">
        <v>40305</v>
      </c>
      <c r="D105" s="45">
        <f t="shared" ca="1" si="3"/>
        <v>15</v>
      </c>
      <c r="E105" s="4">
        <v>64</v>
      </c>
      <c r="F105" s="4" t="s">
        <v>25</v>
      </c>
      <c r="G105" s="4" t="s">
        <v>86</v>
      </c>
      <c r="H105" s="4" t="s">
        <v>21</v>
      </c>
      <c r="I105" s="44" t="s">
        <v>620</v>
      </c>
      <c r="J105" s="5" t="s">
        <v>129</v>
      </c>
      <c r="K105" s="36" t="s">
        <v>130</v>
      </c>
      <c r="L105" s="2"/>
      <c r="M105" s="2"/>
      <c r="N105" s="2"/>
      <c r="O105" s="2"/>
      <c r="P105" s="2"/>
      <c r="Q105" s="2"/>
      <c r="R105" s="2"/>
      <c r="S105" s="3"/>
      <c r="T105" s="2"/>
      <c r="U105" s="2"/>
      <c r="V105" s="2"/>
      <c r="W105" s="2"/>
      <c r="X105" s="2"/>
      <c r="Y105" s="2"/>
      <c r="Z105" s="2"/>
      <c r="AA105" s="2"/>
      <c r="AB105" s="2"/>
      <c r="AC105" s="2"/>
      <c r="AD105" s="2"/>
      <c r="AE105" s="2"/>
    </row>
    <row r="106" spans="1:31" ht="22.5" customHeight="1" x14ac:dyDescent="0.25">
      <c r="A106" s="8">
        <f t="shared" si="2"/>
        <v>105</v>
      </c>
      <c r="B106" s="24" t="s">
        <v>216</v>
      </c>
      <c r="C106" s="27">
        <v>39317</v>
      </c>
      <c r="D106" s="45">
        <f t="shared" ca="1" si="3"/>
        <v>18</v>
      </c>
      <c r="E106" s="4">
        <v>74</v>
      </c>
      <c r="F106" s="4" t="s">
        <v>25</v>
      </c>
      <c r="G106" s="4" t="s">
        <v>32</v>
      </c>
      <c r="H106" s="4" t="s">
        <v>21</v>
      </c>
      <c r="I106" s="44" t="s">
        <v>622</v>
      </c>
      <c r="J106" s="5" t="s">
        <v>129</v>
      </c>
      <c r="K106" s="36" t="s">
        <v>130</v>
      </c>
      <c r="L106" s="2"/>
      <c r="M106" s="2"/>
      <c r="N106" s="2"/>
      <c r="O106" s="2"/>
      <c r="P106" s="2"/>
      <c r="Q106" s="2"/>
      <c r="R106" s="2"/>
      <c r="S106" s="3"/>
      <c r="T106" s="2"/>
      <c r="U106" s="2"/>
      <c r="V106" s="2"/>
      <c r="W106" s="2"/>
      <c r="X106" s="2"/>
      <c r="Y106" s="2"/>
      <c r="Z106" s="2"/>
      <c r="AA106" s="2"/>
      <c r="AB106" s="2"/>
      <c r="AC106" s="2"/>
      <c r="AD106" s="2"/>
      <c r="AE106" s="2"/>
    </row>
    <row r="107" spans="1:31" ht="22.5" customHeight="1" x14ac:dyDescent="0.25">
      <c r="A107" s="8">
        <f t="shared" si="2"/>
        <v>106</v>
      </c>
      <c r="B107" s="24" t="s">
        <v>132</v>
      </c>
      <c r="C107" s="27">
        <v>43329</v>
      </c>
      <c r="D107" s="45">
        <f t="shared" ca="1" si="3"/>
        <v>7</v>
      </c>
      <c r="E107" s="4">
        <v>21</v>
      </c>
      <c r="F107" s="4" t="s">
        <v>19</v>
      </c>
      <c r="G107" s="4" t="s">
        <v>20</v>
      </c>
      <c r="H107" s="4" t="s">
        <v>21</v>
      </c>
      <c r="I107" s="44" t="s">
        <v>621</v>
      </c>
      <c r="J107" s="5" t="s">
        <v>133</v>
      </c>
      <c r="K107" s="36" t="s">
        <v>134</v>
      </c>
      <c r="L107" s="2"/>
      <c r="M107" s="2"/>
      <c r="N107" s="2"/>
      <c r="O107" s="2"/>
      <c r="P107" s="2"/>
      <c r="Q107" s="2"/>
      <c r="R107" s="2"/>
      <c r="S107" s="3"/>
      <c r="T107" s="2"/>
      <c r="U107" s="2"/>
      <c r="V107" s="2"/>
      <c r="W107" s="2"/>
      <c r="X107" s="2"/>
      <c r="Y107" s="2"/>
      <c r="Z107" s="2"/>
      <c r="AA107" s="2"/>
      <c r="AB107" s="2"/>
      <c r="AC107" s="2"/>
      <c r="AD107" s="2"/>
      <c r="AE107" s="2"/>
    </row>
    <row r="108" spans="1:31" ht="22.5" customHeight="1" x14ac:dyDescent="0.25">
      <c r="A108" s="8">
        <f t="shared" si="2"/>
        <v>107</v>
      </c>
      <c r="B108" s="24" t="s">
        <v>137</v>
      </c>
      <c r="C108" s="27">
        <v>42919</v>
      </c>
      <c r="D108" s="45">
        <f t="shared" ca="1" si="3"/>
        <v>8</v>
      </c>
      <c r="E108" s="4">
        <v>25</v>
      </c>
      <c r="F108" s="4" t="s">
        <v>19</v>
      </c>
      <c r="G108" s="4" t="s">
        <v>50</v>
      </c>
      <c r="H108" s="4" t="s">
        <v>21</v>
      </c>
      <c r="I108" s="44" t="s">
        <v>622</v>
      </c>
      <c r="J108" s="5" t="s">
        <v>133</v>
      </c>
      <c r="K108" s="36" t="s">
        <v>134</v>
      </c>
      <c r="L108" s="2"/>
      <c r="M108" s="2"/>
      <c r="N108" s="2"/>
      <c r="O108" s="2"/>
      <c r="P108" s="2"/>
      <c r="Q108" s="2"/>
      <c r="R108" s="2"/>
      <c r="S108" s="3"/>
      <c r="T108" s="2"/>
      <c r="U108" s="2"/>
      <c r="V108" s="2"/>
      <c r="W108" s="2"/>
      <c r="X108" s="2"/>
      <c r="Y108" s="2"/>
      <c r="Z108" s="2"/>
      <c r="AA108" s="2"/>
      <c r="AB108" s="2"/>
      <c r="AC108" s="2"/>
      <c r="AD108" s="2"/>
      <c r="AE108" s="2"/>
    </row>
    <row r="109" spans="1:31" ht="22.5" customHeight="1" x14ac:dyDescent="0.25">
      <c r="A109" s="8">
        <f t="shared" si="2"/>
        <v>108</v>
      </c>
      <c r="B109" s="24" t="s">
        <v>156</v>
      </c>
      <c r="C109" s="27">
        <v>42633</v>
      </c>
      <c r="D109" s="45">
        <f t="shared" ca="1" si="3"/>
        <v>9</v>
      </c>
      <c r="E109" s="4">
        <v>37</v>
      </c>
      <c r="F109" s="4" t="s">
        <v>19</v>
      </c>
      <c r="G109" s="4" t="s">
        <v>39</v>
      </c>
      <c r="H109" s="4" t="s">
        <v>21</v>
      </c>
      <c r="I109" s="44" t="s">
        <v>622</v>
      </c>
      <c r="J109" s="5" t="s">
        <v>133</v>
      </c>
      <c r="K109" s="36" t="s">
        <v>134</v>
      </c>
      <c r="L109" s="2"/>
      <c r="M109" s="2"/>
      <c r="N109" s="2"/>
      <c r="O109" s="2"/>
      <c r="P109" s="2"/>
      <c r="Q109" s="2"/>
      <c r="R109" s="2"/>
      <c r="S109" s="3"/>
      <c r="T109" s="2"/>
      <c r="U109" s="2"/>
      <c r="V109" s="2"/>
      <c r="W109" s="2"/>
      <c r="X109" s="2"/>
      <c r="Y109" s="2"/>
      <c r="Z109" s="2"/>
      <c r="AA109" s="2"/>
      <c r="AB109" s="2"/>
      <c r="AC109" s="2"/>
      <c r="AD109" s="2"/>
      <c r="AE109" s="2"/>
    </row>
    <row r="110" spans="1:31" ht="22.5" customHeight="1" x14ac:dyDescent="0.25">
      <c r="A110" s="8">
        <f t="shared" si="2"/>
        <v>109</v>
      </c>
      <c r="B110" s="24" t="s">
        <v>283</v>
      </c>
      <c r="C110" s="27">
        <v>41161</v>
      </c>
      <c r="D110" s="45">
        <f t="shared" ca="1" si="3"/>
        <v>13</v>
      </c>
      <c r="E110" s="4">
        <v>32</v>
      </c>
      <c r="F110" s="4" t="s">
        <v>25</v>
      </c>
      <c r="G110" s="4" t="s">
        <v>20</v>
      </c>
      <c r="H110" s="4" t="s">
        <v>21</v>
      </c>
      <c r="I110" s="44" t="s">
        <v>620</v>
      </c>
      <c r="J110" s="5" t="s">
        <v>133</v>
      </c>
      <c r="K110" s="36" t="s">
        <v>134</v>
      </c>
      <c r="L110" s="2"/>
      <c r="M110" s="2"/>
      <c r="N110" s="2"/>
      <c r="O110" s="2"/>
      <c r="P110" s="2"/>
      <c r="Q110" s="2"/>
      <c r="R110" s="2"/>
      <c r="S110" s="3"/>
      <c r="T110" s="2"/>
      <c r="U110" s="2"/>
      <c r="V110" s="2"/>
      <c r="W110" s="2"/>
      <c r="X110" s="2"/>
      <c r="Y110" s="2"/>
      <c r="Z110" s="2"/>
      <c r="AA110" s="2"/>
      <c r="AB110" s="2"/>
      <c r="AC110" s="2"/>
      <c r="AD110" s="2"/>
      <c r="AE110" s="2"/>
    </row>
    <row r="111" spans="1:31" ht="22.5" customHeight="1" x14ac:dyDescent="0.25">
      <c r="A111" s="8">
        <f t="shared" si="2"/>
        <v>110</v>
      </c>
      <c r="B111" s="24" t="s">
        <v>136</v>
      </c>
      <c r="C111" s="27">
        <v>40888</v>
      </c>
      <c r="D111" s="45">
        <f t="shared" ca="1" si="3"/>
        <v>14</v>
      </c>
      <c r="E111" s="4">
        <v>38</v>
      </c>
      <c r="F111" s="4" t="s">
        <v>25</v>
      </c>
      <c r="G111" s="4" t="s">
        <v>39</v>
      </c>
      <c r="H111" s="4" t="s">
        <v>21</v>
      </c>
      <c r="I111" s="44" t="s">
        <v>620</v>
      </c>
      <c r="J111" s="5" t="s">
        <v>133</v>
      </c>
      <c r="K111" s="36" t="s">
        <v>134</v>
      </c>
      <c r="L111" s="2"/>
      <c r="M111" s="2"/>
      <c r="N111" s="2"/>
      <c r="O111" s="2"/>
      <c r="P111" s="2"/>
      <c r="Q111" s="2"/>
      <c r="R111" s="2"/>
      <c r="S111" s="3"/>
      <c r="T111" s="2"/>
      <c r="U111" s="2"/>
      <c r="V111" s="2"/>
      <c r="W111" s="2"/>
      <c r="X111" s="2"/>
      <c r="Y111" s="2"/>
      <c r="Z111" s="2"/>
      <c r="AA111" s="2"/>
      <c r="AB111" s="2"/>
      <c r="AC111" s="2"/>
      <c r="AD111" s="2"/>
      <c r="AE111" s="2"/>
    </row>
    <row r="112" spans="1:31" ht="22.5" customHeight="1" x14ac:dyDescent="0.25">
      <c r="A112" s="8">
        <f t="shared" si="2"/>
        <v>111</v>
      </c>
      <c r="B112" s="24" t="s">
        <v>138</v>
      </c>
      <c r="C112" s="27">
        <v>40761</v>
      </c>
      <c r="D112" s="45">
        <f t="shared" ca="1" si="3"/>
        <v>14</v>
      </c>
      <c r="E112" s="4">
        <v>54</v>
      </c>
      <c r="F112" s="4" t="s">
        <v>19</v>
      </c>
      <c r="G112" s="4" t="s">
        <v>50</v>
      </c>
      <c r="H112" s="4" t="s">
        <v>21</v>
      </c>
      <c r="I112" s="44" t="s">
        <v>621</v>
      </c>
      <c r="J112" s="5" t="s">
        <v>133</v>
      </c>
      <c r="K112" s="36" t="s">
        <v>134</v>
      </c>
      <c r="L112" s="2"/>
      <c r="M112" s="2"/>
      <c r="N112" s="2"/>
      <c r="O112" s="2"/>
      <c r="P112" s="2"/>
      <c r="Q112" s="2"/>
      <c r="R112" s="2"/>
      <c r="S112" s="3"/>
      <c r="T112" s="2"/>
      <c r="U112" s="2"/>
      <c r="V112" s="2"/>
      <c r="W112" s="2"/>
      <c r="X112" s="2"/>
      <c r="Y112" s="2"/>
      <c r="Z112" s="2"/>
      <c r="AA112" s="2"/>
      <c r="AB112" s="2"/>
      <c r="AC112" s="2"/>
      <c r="AD112" s="2"/>
      <c r="AE112" s="2"/>
    </row>
    <row r="113" spans="1:31" ht="22.5" customHeight="1" x14ac:dyDescent="0.25">
      <c r="A113" s="8">
        <f t="shared" si="2"/>
        <v>112</v>
      </c>
      <c r="B113" s="24" t="s">
        <v>135</v>
      </c>
      <c r="C113" s="27">
        <v>36723</v>
      </c>
      <c r="D113" s="45">
        <f t="shared" ca="1" si="3"/>
        <v>25</v>
      </c>
      <c r="E113" s="4">
        <v>52</v>
      </c>
      <c r="F113" s="4" t="s">
        <v>19</v>
      </c>
      <c r="G113" s="4" t="s">
        <v>20</v>
      </c>
      <c r="H113" s="4" t="s">
        <v>21</v>
      </c>
      <c r="I113" s="44" t="s">
        <v>621</v>
      </c>
      <c r="J113" s="5" t="s">
        <v>133</v>
      </c>
      <c r="K113" s="36" t="s">
        <v>134</v>
      </c>
      <c r="L113" s="2"/>
      <c r="M113" s="2"/>
      <c r="N113" s="2"/>
      <c r="O113" s="2"/>
      <c r="P113" s="2"/>
      <c r="Q113" s="2"/>
      <c r="R113" s="2"/>
      <c r="S113" s="3"/>
      <c r="T113" s="2"/>
      <c r="U113" s="2"/>
      <c r="V113" s="2"/>
      <c r="W113" s="2"/>
      <c r="X113" s="2"/>
      <c r="Y113" s="2"/>
      <c r="Z113" s="2"/>
      <c r="AA113" s="2"/>
      <c r="AB113" s="2"/>
      <c r="AC113" s="2"/>
      <c r="AD113" s="2"/>
      <c r="AE113" s="2"/>
    </row>
    <row r="114" spans="1:31" ht="22.5" customHeight="1" x14ac:dyDescent="0.25">
      <c r="A114" s="8">
        <f t="shared" si="2"/>
        <v>113</v>
      </c>
      <c r="B114" s="24" t="s">
        <v>91</v>
      </c>
      <c r="C114" s="27">
        <v>43160</v>
      </c>
      <c r="D114" s="45">
        <f t="shared" ca="1" si="3"/>
        <v>8</v>
      </c>
      <c r="E114" s="4">
        <v>39</v>
      </c>
      <c r="F114" s="4" t="s">
        <v>19</v>
      </c>
      <c r="G114" s="4" t="s">
        <v>28</v>
      </c>
      <c r="H114" s="4" t="s">
        <v>21</v>
      </c>
      <c r="I114" s="44" t="s">
        <v>620</v>
      </c>
      <c r="J114" s="5" t="s">
        <v>22</v>
      </c>
      <c r="K114" s="36" t="s">
        <v>36</v>
      </c>
      <c r="L114" s="2"/>
      <c r="M114" s="2"/>
      <c r="N114" s="2"/>
      <c r="O114" s="2"/>
      <c r="P114" s="2"/>
      <c r="Q114" s="2"/>
      <c r="R114" s="2"/>
      <c r="S114" s="3"/>
      <c r="T114" s="2"/>
      <c r="U114" s="2"/>
      <c r="V114" s="2"/>
      <c r="W114" s="2"/>
      <c r="X114" s="2"/>
      <c r="Y114" s="2"/>
      <c r="Z114" s="2"/>
      <c r="AA114" s="2"/>
      <c r="AB114" s="2"/>
      <c r="AC114" s="2"/>
      <c r="AD114" s="2"/>
      <c r="AE114" s="2"/>
    </row>
    <row r="115" spans="1:31" ht="22.5" customHeight="1" x14ac:dyDescent="0.25">
      <c r="A115" s="8">
        <f t="shared" si="2"/>
        <v>114</v>
      </c>
      <c r="B115" s="24" t="s">
        <v>94</v>
      </c>
      <c r="C115" s="27">
        <v>42983</v>
      </c>
      <c r="D115" s="45">
        <f t="shared" ca="1" si="3"/>
        <v>8</v>
      </c>
      <c r="E115" s="4">
        <v>20</v>
      </c>
      <c r="F115" s="4" t="s">
        <v>19</v>
      </c>
      <c r="G115" s="4" t="s">
        <v>42</v>
      </c>
      <c r="H115" s="4" t="s">
        <v>21</v>
      </c>
      <c r="I115" s="44" t="s">
        <v>622</v>
      </c>
      <c r="J115" s="5" t="s">
        <v>22</v>
      </c>
      <c r="K115" s="36" t="s">
        <v>36</v>
      </c>
      <c r="L115" s="2"/>
      <c r="M115" s="2"/>
      <c r="N115" s="2"/>
      <c r="O115" s="2"/>
      <c r="P115" s="2"/>
      <c r="Q115" s="2"/>
      <c r="R115" s="2"/>
      <c r="S115" s="3"/>
      <c r="T115" s="2"/>
      <c r="U115" s="2"/>
      <c r="V115" s="2"/>
      <c r="W115" s="2"/>
      <c r="X115" s="2"/>
      <c r="Y115" s="2"/>
      <c r="Z115" s="2"/>
      <c r="AA115" s="2"/>
      <c r="AB115" s="2"/>
      <c r="AC115" s="2"/>
      <c r="AD115" s="2"/>
      <c r="AE115" s="2"/>
    </row>
    <row r="116" spans="1:31" ht="22.5" customHeight="1" x14ac:dyDescent="0.25">
      <c r="A116" s="8">
        <f t="shared" si="2"/>
        <v>115</v>
      </c>
      <c r="B116" s="24" t="s">
        <v>38</v>
      </c>
      <c r="C116" s="27">
        <v>42578</v>
      </c>
      <c r="D116" s="45">
        <f t="shared" ca="1" si="3"/>
        <v>9</v>
      </c>
      <c r="E116" s="4">
        <v>27</v>
      </c>
      <c r="F116" s="4" t="s">
        <v>19</v>
      </c>
      <c r="G116" s="4" t="s">
        <v>39</v>
      </c>
      <c r="H116" s="4" t="s">
        <v>21</v>
      </c>
      <c r="I116" s="44" t="s">
        <v>621</v>
      </c>
      <c r="J116" s="5" t="s">
        <v>22</v>
      </c>
      <c r="K116" s="36" t="s">
        <v>36</v>
      </c>
      <c r="L116" s="2"/>
      <c r="M116" s="2"/>
      <c r="N116" s="2"/>
      <c r="O116" s="2"/>
      <c r="P116" s="2"/>
      <c r="Q116" s="2"/>
      <c r="R116" s="2"/>
      <c r="S116" s="3"/>
      <c r="T116" s="2"/>
      <c r="U116" s="2"/>
      <c r="V116" s="2"/>
      <c r="W116" s="2"/>
      <c r="X116" s="2"/>
      <c r="Y116" s="2"/>
      <c r="Z116" s="2"/>
      <c r="AA116" s="2"/>
      <c r="AB116" s="2"/>
      <c r="AC116" s="2"/>
      <c r="AD116" s="2"/>
      <c r="AE116" s="2"/>
    </row>
    <row r="117" spans="1:31" ht="22.5" customHeight="1" x14ac:dyDescent="0.25">
      <c r="A117" s="8">
        <f t="shared" si="2"/>
        <v>116</v>
      </c>
      <c r="B117" s="24" t="s">
        <v>93</v>
      </c>
      <c r="C117" s="27">
        <v>42572</v>
      </c>
      <c r="D117" s="45">
        <f t="shared" ca="1" si="3"/>
        <v>9</v>
      </c>
      <c r="E117" s="4">
        <v>35</v>
      </c>
      <c r="F117" s="4" t="s">
        <v>19</v>
      </c>
      <c r="G117" s="4" t="s">
        <v>34</v>
      </c>
      <c r="H117" s="4" t="s">
        <v>21</v>
      </c>
      <c r="I117" s="44" t="s">
        <v>622</v>
      </c>
      <c r="J117" s="5" t="s">
        <v>22</v>
      </c>
      <c r="K117" s="36" t="s">
        <v>36</v>
      </c>
      <c r="L117" s="2"/>
      <c r="M117" s="2"/>
      <c r="N117" s="2"/>
      <c r="O117" s="2"/>
      <c r="P117" s="2"/>
      <c r="Q117" s="2"/>
      <c r="R117" s="2"/>
      <c r="S117" s="3"/>
      <c r="T117" s="2"/>
      <c r="U117" s="2"/>
      <c r="V117" s="2"/>
      <c r="W117" s="2"/>
      <c r="X117" s="2"/>
      <c r="Y117" s="2"/>
      <c r="Z117" s="2"/>
      <c r="AA117" s="2"/>
      <c r="AB117" s="2"/>
      <c r="AC117" s="2"/>
      <c r="AD117" s="2"/>
      <c r="AE117" s="2"/>
    </row>
    <row r="118" spans="1:31" ht="22.5" customHeight="1" x14ac:dyDescent="0.25">
      <c r="A118" s="8">
        <f t="shared" si="2"/>
        <v>117</v>
      </c>
      <c r="B118" s="24" t="s">
        <v>95</v>
      </c>
      <c r="C118" s="27">
        <v>42522</v>
      </c>
      <c r="D118" s="45">
        <f t="shared" ca="1" si="3"/>
        <v>9</v>
      </c>
      <c r="E118" s="4">
        <v>45</v>
      </c>
      <c r="F118" s="4" t="s">
        <v>19</v>
      </c>
      <c r="G118" s="4" t="s">
        <v>39</v>
      </c>
      <c r="H118" s="4" t="s">
        <v>21</v>
      </c>
      <c r="I118" s="44" t="s">
        <v>622</v>
      </c>
      <c r="J118" s="5" t="s">
        <v>22</v>
      </c>
      <c r="K118" s="36" t="s">
        <v>36</v>
      </c>
      <c r="L118" s="2"/>
      <c r="M118" s="2"/>
      <c r="N118" s="2"/>
      <c r="O118" s="2"/>
      <c r="P118" s="2"/>
      <c r="Q118" s="2"/>
      <c r="R118" s="2"/>
      <c r="S118" s="3"/>
      <c r="T118" s="2"/>
      <c r="U118" s="2"/>
      <c r="V118" s="2"/>
      <c r="W118" s="2"/>
      <c r="X118" s="2"/>
      <c r="Y118" s="2"/>
      <c r="Z118" s="2"/>
      <c r="AA118" s="2"/>
      <c r="AB118" s="2"/>
      <c r="AC118" s="2"/>
      <c r="AD118" s="2"/>
      <c r="AE118" s="2"/>
    </row>
    <row r="119" spans="1:31" ht="22.5" customHeight="1" x14ac:dyDescent="0.25">
      <c r="A119" s="8">
        <f t="shared" si="2"/>
        <v>118</v>
      </c>
      <c r="B119" s="24" t="s">
        <v>587</v>
      </c>
      <c r="C119" s="27">
        <v>42180</v>
      </c>
      <c r="D119" s="45">
        <f t="shared" ca="1" si="3"/>
        <v>10</v>
      </c>
      <c r="E119" s="4">
        <v>30</v>
      </c>
      <c r="F119" s="18" t="s">
        <v>25</v>
      </c>
      <c r="G119" s="18" t="s">
        <v>28</v>
      </c>
      <c r="H119" s="18" t="s">
        <v>21</v>
      </c>
      <c r="I119" s="44" t="s">
        <v>620</v>
      </c>
      <c r="J119" s="19" t="s">
        <v>22</v>
      </c>
      <c r="K119" s="37" t="s">
        <v>36</v>
      </c>
      <c r="L119" s="2"/>
      <c r="M119" s="2"/>
      <c r="N119" s="2"/>
      <c r="O119" s="2"/>
      <c r="P119" s="2"/>
      <c r="Q119" s="2"/>
      <c r="R119" s="2"/>
      <c r="S119" s="3"/>
      <c r="T119" s="2"/>
      <c r="U119" s="2"/>
      <c r="V119" s="2"/>
      <c r="W119" s="2"/>
      <c r="X119" s="2"/>
      <c r="Y119" s="2"/>
      <c r="Z119" s="2"/>
      <c r="AA119" s="2"/>
      <c r="AB119" s="2"/>
      <c r="AC119" s="2"/>
      <c r="AD119" s="2"/>
      <c r="AE119" s="2"/>
    </row>
    <row r="120" spans="1:31" ht="22.5" customHeight="1" x14ac:dyDescent="0.25">
      <c r="A120" s="8">
        <f t="shared" si="2"/>
        <v>119</v>
      </c>
      <c r="B120" s="24" t="s">
        <v>46</v>
      </c>
      <c r="C120" s="27">
        <v>42166</v>
      </c>
      <c r="D120" s="45">
        <f t="shared" ca="1" si="3"/>
        <v>10</v>
      </c>
      <c r="E120" s="4">
        <v>25</v>
      </c>
      <c r="F120" s="4" t="s">
        <v>19</v>
      </c>
      <c r="G120" s="4" t="s">
        <v>28</v>
      </c>
      <c r="H120" s="4" t="s">
        <v>21</v>
      </c>
      <c r="I120" s="44" t="s">
        <v>620</v>
      </c>
      <c r="J120" s="5" t="s">
        <v>22</v>
      </c>
      <c r="K120" s="36" t="s">
        <v>36</v>
      </c>
      <c r="L120" s="2"/>
      <c r="M120" s="2"/>
      <c r="N120" s="2"/>
      <c r="O120" s="2"/>
      <c r="P120" s="2"/>
      <c r="Q120" s="2"/>
      <c r="R120" s="2"/>
      <c r="S120" s="3"/>
      <c r="T120" s="2"/>
      <c r="U120" s="2"/>
      <c r="V120" s="2"/>
      <c r="W120" s="2"/>
      <c r="X120" s="2"/>
      <c r="Y120" s="2"/>
      <c r="Z120" s="2"/>
      <c r="AA120" s="2"/>
      <c r="AB120" s="2"/>
      <c r="AC120" s="2"/>
      <c r="AD120" s="2"/>
      <c r="AE120" s="2"/>
    </row>
    <row r="121" spans="1:31" ht="22.5" customHeight="1" x14ac:dyDescent="0.25">
      <c r="A121" s="8">
        <f t="shared" si="2"/>
        <v>120</v>
      </c>
      <c r="B121" s="24" t="s">
        <v>41</v>
      </c>
      <c r="C121" s="27">
        <v>41346</v>
      </c>
      <c r="D121" s="45">
        <f t="shared" ca="1" si="3"/>
        <v>13</v>
      </c>
      <c r="E121" s="4">
        <v>30</v>
      </c>
      <c r="F121" s="4" t="s">
        <v>25</v>
      </c>
      <c r="G121" s="4" t="s">
        <v>42</v>
      </c>
      <c r="H121" s="4" t="s">
        <v>21</v>
      </c>
      <c r="I121" s="44" t="s">
        <v>621</v>
      </c>
      <c r="J121" s="5" t="s">
        <v>22</v>
      </c>
      <c r="K121" s="36" t="s">
        <v>36</v>
      </c>
      <c r="L121" s="2"/>
      <c r="M121" s="2"/>
      <c r="N121" s="2"/>
      <c r="O121" s="2"/>
      <c r="P121" s="2"/>
      <c r="Q121" s="2"/>
      <c r="R121" s="2"/>
      <c r="S121" s="3"/>
      <c r="T121" s="2"/>
      <c r="U121" s="2"/>
      <c r="V121" s="2"/>
      <c r="W121" s="2"/>
      <c r="X121" s="2"/>
      <c r="Y121" s="2"/>
      <c r="Z121" s="2"/>
      <c r="AA121" s="2"/>
      <c r="AB121" s="2"/>
      <c r="AC121" s="2"/>
      <c r="AD121" s="2"/>
      <c r="AE121" s="2"/>
    </row>
    <row r="122" spans="1:31" ht="22.5" customHeight="1" x14ac:dyDescent="0.25">
      <c r="A122" s="8">
        <f t="shared" si="2"/>
        <v>121</v>
      </c>
      <c r="B122" s="24" t="s">
        <v>40</v>
      </c>
      <c r="C122" s="27">
        <v>41312</v>
      </c>
      <c r="D122" s="45">
        <f t="shared" ca="1" si="3"/>
        <v>13</v>
      </c>
      <c r="E122" s="4">
        <v>55</v>
      </c>
      <c r="F122" s="4" t="s">
        <v>19</v>
      </c>
      <c r="G122" s="4" t="s">
        <v>34</v>
      </c>
      <c r="H122" s="4" t="s">
        <v>21</v>
      </c>
      <c r="I122" s="44" t="s">
        <v>621</v>
      </c>
      <c r="J122" s="5" t="s">
        <v>22</v>
      </c>
      <c r="K122" s="36" t="s">
        <v>36</v>
      </c>
      <c r="L122" s="2"/>
      <c r="M122" s="2"/>
      <c r="N122" s="2"/>
      <c r="O122" s="2"/>
      <c r="P122" s="2"/>
      <c r="Q122" s="2"/>
      <c r="R122" s="2"/>
      <c r="S122" s="3"/>
      <c r="T122" s="2"/>
      <c r="U122" s="2"/>
      <c r="V122" s="2"/>
      <c r="W122" s="2"/>
      <c r="X122" s="2"/>
      <c r="Y122" s="2"/>
      <c r="Z122" s="2"/>
      <c r="AA122" s="2"/>
      <c r="AB122" s="2"/>
      <c r="AC122" s="2"/>
      <c r="AD122" s="2"/>
      <c r="AE122" s="2"/>
    </row>
    <row r="123" spans="1:31" ht="22.5" customHeight="1" x14ac:dyDescent="0.25">
      <c r="A123" s="8">
        <f t="shared" si="2"/>
        <v>122</v>
      </c>
      <c r="B123" s="24" t="s">
        <v>595</v>
      </c>
      <c r="C123" s="27">
        <v>41025</v>
      </c>
      <c r="D123" s="45">
        <f t="shared" ca="1" si="3"/>
        <v>13</v>
      </c>
      <c r="E123" s="4">
        <v>50</v>
      </c>
      <c r="F123" s="4" t="s">
        <v>19</v>
      </c>
      <c r="G123" s="4" t="s">
        <v>28</v>
      </c>
      <c r="H123" s="4" t="s">
        <v>21</v>
      </c>
      <c r="I123" s="44" t="s">
        <v>620</v>
      </c>
      <c r="J123" s="5" t="s">
        <v>22</v>
      </c>
      <c r="K123" s="36" t="s">
        <v>36</v>
      </c>
      <c r="L123" s="2"/>
      <c r="M123" s="2"/>
      <c r="N123" s="2"/>
      <c r="O123" s="2"/>
      <c r="P123" s="2"/>
      <c r="Q123" s="2"/>
      <c r="R123" s="2"/>
      <c r="S123" s="3"/>
      <c r="T123" s="2"/>
      <c r="U123" s="2"/>
      <c r="V123" s="2"/>
      <c r="W123" s="2"/>
      <c r="X123" s="2"/>
      <c r="Y123" s="2"/>
      <c r="Z123" s="2"/>
      <c r="AA123" s="2"/>
      <c r="AB123" s="2"/>
      <c r="AC123" s="2"/>
      <c r="AD123" s="2"/>
      <c r="AE123" s="2"/>
    </row>
    <row r="124" spans="1:31" ht="22.5" customHeight="1" x14ac:dyDescent="0.25">
      <c r="A124" s="8">
        <f t="shared" si="2"/>
        <v>123</v>
      </c>
      <c r="B124" s="24" t="s">
        <v>43</v>
      </c>
      <c r="C124" s="27">
        <v>40872</v>
      </c>
      <c r="D124" s="45">
        <f t="shared" ca="1" si="3"/>
        <v>14</v>
      </c>
      <c r="E124" s="4">
        <v>45</v>
      </c>
      <c r="F124" s="4" t="s">
        <v>25</v>
      </c>
      <c r="G124" s="4" t="s">
        <v>37</v>
      </c>
      <c r="H124" s="4" t="s">
        <v>21</v>
      </c>
      <c r="I124" s="44" t="s">
        <v>622</v>
      </c>
      <c r="J124" s="5" t="s">
        <v>22</v>
      </c>
      <c r="K124" s="36" t="s">
        <v>36</v>
      </c>
      <c r="L124" s="2"/>
      <c r="M124" s="2"/>
      <c r="N124" s="2"/>
      <c r="O124" s="2"/>
      <c r="P124" s="2"/>
      <c r="Q124" s="2"/>
      <c r="R124" s="2"/>
      <c r="S124" s="3"/>
      <c r="T124" s="2"/>
      <c r="U124" s="2"/>
      <c r="V124" s="2"/>
      <c r="W124" s="2"/>
      <c r="X124" s="2"/>
      <c r="Y124" s="2"/>
      <c r="Z124" s="2"/>
      <c r="AA124" s="2"/>
      <c r="AB124" s="2"/>
      <c r="AC124" s="2"/>
      <c r="AD124" s="2"/>
      <c r="AE124" s="2"/>
    </row>
    <row r="125" spans="1:31" ht="22.5" customHeight="1" x14ac:dyDescent="0.25">
      <c r="A125" s="8">
        <f t="shared" si="2"/>
        <v>124</v>
      </c>
      <c r="B125" s="24" t="s">
        <v>35</v>
      </c>
      <c r="C125" s="27">
        <v>40393</v>
      </c>
      <c r="D125" s="45">
        <f t="shared" ca="1" si="3"/>
        <v>15</v>
      </c>
      <c r="E125" s="4">
        <v>55</v>
      </c>
      <c r="F125" s="4" t="s">
        <v>25</v>
      </c>
      <c r="G125" s="4" t="s">
        <v>20</v>
      </c>
      <c r="H125" s="4" t="s">
        <v>21</v>
      </c>
      <c r="I125" s="44" t="s">
        <v>621</v>
      </c>
      <c r="J125" s="5" t="s">
        <v>22</v>
      </c>
      <c r="K125" s="36" t="s">
        <v>36</v>
      </c>
      <c r="L125" s="2"/>
      <c r="M125" s="2"/>
      <c r="N125" s="2"/>
      <c r="O125" s="2"/>
      <c r="P125" s="2"/>
      <c r="Q125" s="2"/>
      <c r="R125" s="2"/>
      <c r="S125" s="3"/>
      <c r="T125" s="2"/>
      <c r="U125" s="2"/>
      <c r="V125" s="2"/>
      <c r="W125" s="2"/>
      <c r="X125" s="2"/>
      <c r="Y125" s="2"/>
      <c r="Z125" s="2"/>
      <c r="AA125" s="2"/>
      <c r="AB125" s="2"/>
      <c r="AC125" s="2"/>
      <c r="AD125" s="2"/>
      <c r="AE125" s="2"/>
    </row>
    <row r="126" spans="1:31" ht="22.5" customHeight="1" x14ac:dyDescent="0.25">
      <c r="A126" s="8">
        <f t="shared" si="2"/>
        <v>125</v>
      </c>
      <c r="B126" s="24" t="s">
        <v>52</v>
      </c>
      <c r="C126" s="27">
        <v>40473</v>
      </c>
      <c r="D126" s="45">
        <f t="shared" ca="1" si="3"/>
        <v>15</v>
      </c>
      <c r="E126" s="4">
        <v>42</v>
      </c>
      <c r="F126" s="4" t="s">
        <v>19</v>
      </c>
      <c r="G126" s="4" t="s">
        <v>32</v>
      </c>
      <c r="H126" s="4" t="s">
        <v>21</v>
      </c>
      <c r="I126" s="44" t="s">
        <v>622</v>
      </c>
      <c r="J126" s="5" t="s">
        <v>22</v>
      </c>
      <c r="K126" s="36" t="s">
        <v>36</v>
      </c>
      <c r="L126" s="2"/>
      <c r="M126" s="2"/>
      <c r="N126" s="2"/>
      <c r="O126" s="2"/>
      <c r="P126" s="2"/>
      <c r="Q126" s="2"/>
      <c r="R126" s="2"/>
      <c r="S126" s="3"/>
      <c r="T126" s="2"/>
      <c r="U126" s="2"/>
      <c r="V126" s="2"/>
      <c r="W126" s="2"/>
      <c r="X126" s="2"/>
      <c r="Y126" s="2"/>
      <c r="Z126" s="2"/>
      <c r="AA126" s="2"/>
      <c r="AB126" s="2"/>
      <c r="AC126" s="2"/>
      <c r="AD126" s="2"/>
      <c r="AE126" s="2"/>
    </row>
    <row r="127" spans="1:31" ht="19.5" customHeight="1" x14ac:dyDescent="0.25">
      <c r="A127" s="8">
        <f t="shared" si="2"/>
        <v>126</v>
      </c>
      <c r="B127" s="24" t="s">
        <v>92</v>
      </c>
      <c r="C127" s="27">
        <v>40803</v>
      </c>
      <c r="D127" s="45">
        <f t="shared" ca="1" si="3"/>
        <v>14</v>
      </c>
      <c r="E127" s="4">
        <v>45</v>
      </c>
      <c r="F127" s="4" t="s">
        <v>19</v>
      </c>
      <c r="G127" s="4" t="s">
        <v>42</v>
      </c>
      <c r="H127" s="4" t="s">
        <v>21</v>
      </c>
      <c r="I127" s="44" t="s">
        <v>622</v>
      </c>
      <c r="J127" s="5" t="s">
        <v>22</v>
      </c>
      <c r="K127" s="36" t="s">
        <v>36</v>
      </c>
      <c r="L127" s="2"/>
      <c r="M127" s="2"/>
      <c r="N127" s="2"/>
      <c r="O127" s="2"/>
      <c r="P127" s="2"/>
      <c r="Q127" s="2"/>
      <c r="R127" s="2"/>
      <c r="S127" s="3"/>
      <c r="T127" s="2"/>
      <c r="U127" s="2"/>
      <c r="V127" s="2"/>
      <c r="W127" s="2"/>
      <c r="X127" s="2"/>
      <c r="Y127" s="2"/>
      <c r="Z127" s="2"/>
      <c r="AA127" s="2"/>
      <c r="AB127" s="2"/>
      <c r="AC127" s="2"/>
      <c r="AD127" s="2"/>
      <c r="AE127" s="2"/>
    </row>
    <row r="128" spans="1:31" ht="22.5" customHeight="1" x14ac:dyDescent="0.25">
      <c r="A128" s="8">
        <f t="shared" si="2"/>
        <v>127</v>
      </c>
      <c r="B128" s="24" t="s">
        <v>60</v>
      </c>
      <c r="C128" s="27">
        <v>40851</v>
      </c>
      <c r="D128" s="45">
        <f t="shared" ca="1" si="3"/>
        <v>14</v>
      </c>
      <c r="E128" s="4">
        <v>55</v>
      </c>
      <c r="F128" s="4" t="s">
        <v>19</v>
      </c>
      <c r="G128" s="4" t="s">
        <v>61</v>
      </c>
      <c r="H128" s="4" t="s">
        <v>21</v>
      </c>
      <c r="I128" s="44" t="s">
        <v>620</v>
      </c>
      <c r="J128" s="5" t="s">
        <v>22</v>
      </c>
      <c r="K128" s="36" t="s">
        <v>36</v>
      </c>
      <c r="L128" s="2"/>
      <c r="M128" s="2"/>
      <c r="N128" s="2"/>
      <c r="O128" s="2"/>
      <c r="P128" s="2"/>
      <c r="Q128" s="2"/>
      <c r="R128" s="2"/>
      <c r="S128" s="3"/>
      <c r="T128" s="2"/>
      <c r="U128" s="2"/>
      <c r="V128" s="2"/>
      <c r="W128" s="2"/>
      <c r="X128" s="2"/>
      <c r="Y128" s="2"/>
      <c r="Z128" s="2"/>
      <c r="AA128" s="2"/>
      <c r="AB128" s="2"/>
      <c r="AC128" s="2"/>
      <c r="AD128" s="2"/>
      <c r="AE128" s="2"/>
    </row>
    <row r="129" spans="1:31" ht="22.5" customHeight="1" x14ac:dyDescent="0.25">
      <c r="A129" s="8">
        <f t="shared" si="2"/>
        <v>128</v>
      </c>
      <c r="B129" s="24" t="s">
        <v>49</v>
      </c>
      <c r="C129" s="27">
        <v>32108</v>
      </c>
      <c r="D129" s="45">
        <f t="shared" ca="1" si="3"/>
        <v>38</v>
      </c>
      <c r="E129" s="4">
        <v>68</v>
      </c>
      <c r="F129" s="4" t="s">
        <v>19</v>
      </c>
      <c r="G129" s="4" t="s">
        <v>50</v>
      </c>
      <c r="H129" s="4" t="s">
        <v>51</v>
      </c>
      <c r="I129" s="44" t="s">
        <v>620</v>
      </c>
      <c r="J129" s="5" t="s">
        <v>22</v>
      </c>
      <c r="K129" s="36" t="s">
        <v>36</v>
      </c>
      <c r="L129" s="2"/>
      <c r="M129" s="2"/>
      <c r="N129" s="2"/>
      <c r="O129" s="2"/>
      <c r="P129" s="2"/>
      <c r="Q129" s="2"/>
      <c r="R129" s="2"/>
      <c r="S129" s="3"/>
      <c r="T129" s="2"/>
      <c r="U129" s="2"/>
      <c r="V129" s="2"/>
      <c r="W129" s="2"/>
      <c r="X129" s="2"/>
      <c r="Y129" s="2"/>
      <c r="Z129" s="2"/>
      <c r="AA129" s="2"/>
      <c r="AB129" s="2"/>
      <c r="AC129" s="2"/>
      <c r="AD129" s="2"/>
      <c r="AE129" s="2"/>
    </row>
    <row r="130" spans="1:31" ht="22.5" customHeight="1" x14ac:dyDescent="0.25">
      <c r="A130" s="8">
        <f t="shared" si="2"/>
        <v>129</v>
      </c>
      <c r="B130" s="24" t="s">
        <v>96</v>
      </c>
      <c r="C130" s="27">
        <v>42891</v>
      </c>
      <c r="D130" s="45">
        <f t="shared" ca="1" si="3"/>
        <v>8</v>
      </c>
      <c r="E130" s="4">
        <v>35</v>
      </c>
      <c r="F130" s="4" t="s">
        <v>19</v>
      </c>
      <c r="G130" s="4" t="s">
        <v>39</v>
      </c>
      <c r="H130" s="4" t="s">
        <v>45</v>
      </c>
      <c r="I130" s="44" t="s">
        <v>621</v>
      </c>
      <c r="J130" s="5" t="s">
        <v>22</v>
      </c>
      <c r="K130" s="36" t="s">
        <v>36</v>
      </c>
      <c r="L130" s="2"/>
      <c r="M130" s="2"/>
      <c r="N130" s="2"/>
      <c r="O130" s="2"/>
      <c r="P130" s="2"/>
      <c r="Q130" s="2"/>
      <c r="R130" s="2"/>
      <c r="S130" s="3"/>
      <c r="T130" s="2"/>
      <c r="U130" s="2"/>
      <c r="V130" s="2"/>
      <c r="W130" s="2"/>
      <c r="X130" s="2"/>
      <c r="Y130" s="2"/>
      <c r="Z130" s="2"/>
      <c r="AA130" s="2"/>
      <c r="AB130" s="2"/>
      <c r="AC130" s="2"/>
      <c r="AD130" s="2"/>
      <c r="AE130" s="2"/>
    </row>
    <row r="131" spans="1:31" ht="22.5" customHeight="1" x14ac:dyDescent="0.25">
      <c r="A131" s="8">
        <f t="shared" ref="A131:A194" si="4">A130+1</f>
        <v>130</v>
      </c>
      <c r="B131" s="24" t="s">
        <v>44</v>
      </c>
      <c r="C131" s="27">
        <v>40701</v>
      </c>
      <c r="D131" s="45">
        <f t="shared" ref="D131:D194" ca="1" si="5">DATEDIF(C131, TODAY(), "Y")</f>
        <v>14</v>
      </c>
      <c r="E131" s="4">
        <v>38</v>
      </c>
      <c r="F131" s="4" t="s">
        <v>25</v>
      </c>
      <c r="G131" s="4" t="s">
        <v>39</v>
      </c>
      <c r="H131" s="4" t="s">
        <v>45</v>
      </c>
      <c r="I131" s="44" t="s">
        <v>621</v>
      </c>
      <c r="J131" s="5" t="s">
        <v>22</v>
      </c>
      <c r="K131" s="36" t="s">
        <v>36</v>
      </c>
      <c r="L131" s="2"/>
      <c r="M131" s="2"/>
      <c r="N131" s="2"/>
      <c r="O131" s="2"/>
      <c r="P131" s="2"/>
      <c r="Q131" s="2"/>
      <c r="R131" s="2"/>
      <c r="S131" s="3"/>
      <c r="T131" s="2"/>
      <c r="U131" s="2"/>
      <c r="V131" s="2"/>
      <c r="W131" s="2"/>
      <c r="X131" s="2"/>
      <c r="Y131" s="2"/>
      <c r="Z131" s="2"/>
      <c r="AA131" s="2"/>
      <c r="AB131" s="2"/>
      <c r="AC131" s="2"/>
      <c r="AD131" s="2"/>
      <c r="AE131" s="2"/>
    </row>
    <row r="132" spans="1:31" ht="22.5" customHeight="1" x14ac:dyDescent="0.25">
      <c r="A132" s="8">
        <f t="shared" si="4"/>
        <v>131</v>
      </c>
      <c r="B132" s="24" t="s">
        <v>200</v>
      </c>
      <c r="C132" s="27">
        <v>43692</v>
      </c>
      <c r="D132" s="45">
        <f t="shared" ca="1" si="5"/>
        <v>6</v>
      </c>
      <c r="E132" s="4">
        <v>20</v>
      </c>
      <c r="F132" s="4" t="s">
        <v>25</v>
      </c>
      <c r="G132" s="4" t="s">
        <v>39</v>
      </c>
      <c r="H132" s="4" t="s">
        <v>21</v>
      </c>
      <c r="I132" s="44" t="s">
        <v>620</v>
      </c>
      <c r="J132" s="5" t="s">
        <v>117</v>
      </c>
      <c r="K132" s="36" t="s">
        <v>199</v>
      </c>
      <c r="L132" s="2"/>
      <c r="M132" s="2"/>
      <c r="N132" s="2"/>
      <c r="O132" s="2"/>
      <c r="P132" s="2"/>
      <c r="Q132" s="2"/>
      <c r="R132" s="2"/>
      <c r="S132" s="3"/>
      <c r="T132" s="2"/>
      <c r="U132" s="2"/>
      <c r="V132" s="2"/>
      <c r="W132" s="2"/>
      <c r="X132" s="2"/>
      <c r="Y132" s="2"/>
      <c r="Z132" s="2"/>
      <c r="AA132" s="2"/>
      <c r="AB132" s="2"/>
      <c r="AC132" s="2"/>
      <c r="AD132" s="2"/>
      <c r="AE132" s="2"/>
    </row>
    <row r="133" spans="1:31" ht="22.5" customHeight="1" x14ac:dyDescent="0.25">
      <c r="A133" s="8">
        <f t="shared" si="4"/>
        <v>132</v>
      </c>
      <c r="B133" s="24" t="s">
        <v>558</v>
      </c>
      <c r="C133" s="27">
        <v>41427</v>
      </c>
      <c r="D133" s="45">
        <f t="shared" ca="1" si="5"/>
        <v>12</v>
      </c>
      <c r="E133" s="4">
        <v>53</v>
      </c>
      <c r="F133" s="4" t="s">
        <v>25</v>
      </c>
      <c r="G133" s="4" t="s">
        <v>559</v>
      </c>
      <c r="H133" s="4" t="s">
        <v>21</v>
      </c>
      <c r="I133" s="44" t="s">
        <v>622</v>
      </c>
      <c r="J133" s="5" t="s">
        <v>117</v>
      </c>
      <c r="K133" s="36" t="s">
        <v>199</v>
      </c>
      <c r="L133"/>
      <c r="M133"/>
      <c r="N133"/>
      <c r="O133"/>
      <c r="P133"/>
      <c r="S133" s="3"/>
      <c r="V133" s="2"/>
      <c r="X133" s="2"/>
    </row>
    <row r="134" spans="1:31" ht="22.5" customHeight="1" x14ac:dyDescent="0.25">
      <c r="A134" s="8">
        <f t="shared" si="4"/>
        <v>133</v>
      </c>
      <c r="B134" s="24" t="s">
        <v>593</v>
      </c>
      <c r="C134" s="30">
        <v>41006</v>
      </c>
      <c r="D134" s="45">
        <f t="shared" ca="1" si="5"/>
        <v>13</v>
      </c>
      <c r="E134" s="18">
        <v>44</v>
      </c>
      <c r="F134" s="18" t="s">
        <v>25</v>
      </c>
      <c r="G134" s="18" t="s">
        <v>26</v>
      </c>
      <c r="H134" s="18" t="s">
        <v>21</v>
      </c>
      <c r="I134" s="44" t="s">
        <v>621</v>
      </c>
      <c r="J134" s="19" t="s">
        <v>117</v>
      </c>
      <c r="K134" s="37" t="s">
        <v>199</v>
      </c>
      <c r="L134"/>
      <c r="M134"/>
      <c r="N134"/>
      <c r="O134"/>
      <c r="P134"/>
      <c r="S134" s="3"/>
      <c r="V134" s="2"/>
      <c r="X134" s="2"/>
    </row>
    <row r="135" spans="1:31" ht="22.5" customHeight="1" x14ac:dyDescent="0.25">
      <c r="A135" s="8">
        <f t="shared" si="4"/>
        <v>134</v>
      </c>
      <c r="B135" s="24" t="s">
        <v>198</v>
      </c>
      <c r="C135" s="27">
        <v>41056</v>
      </c>
      <c r="D135" s="45">
        <f t="shared" ca="1" si="5"/>
        <v>13</v>
      </c>
      <c r="E135" s="4">
        <v>47</v>
      </c>
      <c r="F135" s="4" t="s">
        <v>25</v>
      </c>
      <c r="G135" s="4" t="s">
        <v>34</v>
      </c>
      <c r="H135" s="4" t="s">
        <v>21</v>
      </c>
      <c r="I135" s="44" t="s">
        <v>622</v>
      </c>
      <c r="J135" s="5" t="s">
        <v>117</v>
      </c>
      <c r="K135" s="36" t="s">
        <v>199</v>
      </c>
      <c r="L135"/>
      <c r="M135"/>
      <c r="N135"/>
      <c r="O135"/>
      <c r="P135"/>
      <c r="S135" s="3"/>
      <c r="V135" s="2"/>
      <c r="X135" s="2"/>
    </row>
    <row r="136" spans="1:31" ht="22.5" customHeight="1" x14ac:dyDescent="0.25">
      <c r="A136" s="8">
        <f t="shared" si="4"/>
        <v>135</v>
      </c>
      <c r="B136" s="24" t="s">
        <v>364</v>
      </c>
      <c r="C136" s="27">
        <v>40476</v>
      </c>
      <c r="D136" s="45">
        <f t="shared" ca="1" si="5"/>
        <v>15</v>
      </c>
      <c r="E136" s="4">
        <v>49</v>
      </c>
      <c r="F136" s="4" t="s">
        <v>25</v>
      </c>
      <c r="G136" s="4" t="s">
        <v>37</v>
      </c>
      <c r="H136" s="4" t="s">
        <v>21</v>
      </c>
      <c r="I136" s="44" t="s">
        <v>622</v>
      </c>
      <c r="J136" s="5" t="s">
        <v>117</v>
      </c>
      <c r="K136" s="36" t="s">
        <v>199</v>
      </c>
      <c r="L136"/>
      <c r="M136"/>
      <c r="N136"/>
      <c r="O136"/>
      <c r="P136"/>
      <c r="S136" s="3"/>
      <c r="V136" s="2"/>
      <c r="X136" s="2"/>
    </row>
    <row r="137" spans="1:31" ht="22.5" customHeight="1" x14ac:dyDescent="0.25">
      <c r="A137" s="8">
        <f t="shared" si="4"/>
        <v>136</v>
      </c>
      <c r="B137" s="24" t="s">
        <v>277</v>
      </c>
      <c r="C137" s="27">
        <v>40724</v>
      </c>
      <c r="D137" s="45">
        <f t="shared" ca="1" si="5"/>
        <v>14</v>
      </c>
      <c r="E137" s="4">
        <v>35</v>
      </c>
      <c r="F137" s="4" t="s">
        <v>19</v>
      </c>
      <c r="G137" s="4" t="s">
        <v>26</v>
      </c>
      <c r="H137" s="4" t="s">
        <v>21</v>
      </c>
      <c r="I137" s="44" t="s">
        <v>620</v>
      </c>
      <c r="J137" s="5" t="s">
        <v>117</v>
      </c>
      <c r="K137" s="36" t="s">
        <v>199</v>
      </c>
      <c r="L137"/>
      <c r="M137"/>
      <c r="N137"/>
      <c r="O137"/>
      <c r="P137"/>
      <c r="S137" s="3"/>
      <c r="V137" s="2"/>
      <c r="X137" s="2"/>
    </row>
    <row r="138" spans="1:31" ht="22.5" customHeight="1" x14ac:dyDescent="0.25">
      <c r="A138" s="8">
        <f t="shared" si="4"/>
        <v>137</v>
      </c>
      <c r="B138" s="24" t="s">
        <v>303</v>
      </c>
      <c r="C138" s="27">
        <v>39928</v>
      </c>
      <c r="D138" s="45">
        <f t="shared" ca="1" si="5"/>
        <v>16</v>
      </c>
      <c r="E138" s="4">
        <v>40</v>
      </c>
      <c r="F138" s="4" t="s">
        <v>19</v>
      </c>
      <c r="G138" s="4" t="s">
        <v>32</v>
      </c>
      <c r="H138" s="4" t="s">
        <v>21</v>
      </c>
      <c r="I138" s="44" t="s">
        <v>620</v>
      </c>
      <c r="J138" s="5" t="s">
        <v>117</v>
      </c>
      <c r="K138" s="36" t="s">
        <v>199</v>
      </c>
      <c r="L138"/>
      <c r="M138"/>
      <c r="N138"/>
      <c r="O138"/>
      <c r="P138"/>
      <c r="S138" s="3"/>
      <c r="V138" s="2"/>
      <c r="X138" s="2"/>
    </row>
    <row r="139" spans="1:31" ht="22.5" customHeight="1" x14ac:dyDescent="0.25">
      <c r="A139" s="8">
        <f t="shared" si="4"/>
        <v>138</v>
      </c>
      <c r="B139" s="24" t="s">
        <v>281</v>
      </c>
      <c r="C139" s="27">
        <v>39811</v>
      </c>
      <c r="D139" s="45">
        <f t="shared" ca="1" si="5"/>
        <v>17</v>
      </c>
      <c r="E139" s="4">
        <v>51</v>
      </c>
      <c r="F139" s="4" t="s">
        <v>19</v>
      </c>
      <c r="G139" s="4" t="s">
        <v>37</v>
      </c>
      <c r="H139" s="4" t="s">
        <v>21</v>
      </c>
      <c r="I139" s="44" t="s">
        <v>621</v>
      </c>
      <c r="J139" s="5" t="s">
        <v>117</v>
      </c>
      <c r="K139" s="36" t="s">
        <v>199</v>
      </c>
      <c r="L139"/>
      <c r="M139"/>
      <c r="N139"/>
      <c r="O139"/>
      <c r="P139"/>
      <c r="S139" s="3"/>
      <c r="V139" s="2"/>
      <c r="X139" s="2"/>
    </row>
    <row r="140" spans="1:31" ht="22.5" customHeight="1" x14ac:dyDescent="0.25">
      <c r="A140" s="8">
        <f t="shared" si="4"/>
        <v>139</v>
      </c>
      <c r="B140" s="24" t="s">
        <v>282</v>
      </c>
      <c r="C140" s="27">
        <v>39528</v>
      </c>
      <c r="D140" s="45">
        <f t="shared" ca="1" si="5"/>
        <v>18</v>
      </c>
      <c r="E140" s="4">
        <v>52</v>
      </c>
      <c r="F140" s="4" t="s">
        <v>19</v>
      </c>
      <c r="G140" s="4" t="s">
        <v>37</v>
      </c>
      <c r="H140" s="4" t="s">
        <v>21</v>
      </c>
      <c r="I140" s="44" t="s">
        <v>621</v>
      </c>
      <c r="J140" s="5" t="s">
        <v>117</v>
      </c>
      <c r="K140" s="36" t="s">
        <v>199</v>
      </c>
      <c r="L140"/>
      <c r="M140"/>
      <c r="N140"/>
      <c r="O140"/>
      <c r="P140"/>
      <c r="S140" s="3"/>
      <c r="V140" s="2"/>
      <c r="X140" s="2"/>
    </row>
    <row r="141" spans="1:31" ht="22.5" customHeight="1" x14ac:dyDescent="0.25">
      <c r="A141" s="8">
        <f t="shared" si="4"/>
        <v>140</v>
      </c>
      <c r="B141" s="24" t="s">
        <v>304</v>
      </c>
      <c r="C141" s="27">
        <v>39423</v>
      </c>
      <c r="D141" s="45">
        <f t="shared" ca="1" si="5"/>
        <v>18</v>
      </c>
      <c r="E141" s="4">
        <v>38</v>
      </c>
      <c r="F141" s="4" t="s">
        <v>19</v>
      </c>
      <c r="G141" s="4" t="s">
        <v>42</v>
      </c>
      <c r="H141" s="4" t="s">
        <v>21</v>
      </c>
      <c r="I141" s="44" t="s">
        <v>620</v>
      </c>
      <c r="J141" s="5" t="s">
        <v>117</v>
      </c>
      <c r="K141" s="36" t="s">
        <v>199</v>
      </c>
      <c r="L141"/>
      <c r="M141"/>
      <c r="N141"/>
      <c r="O141"/>
      <c r="P141"/>
      <c r="S141" s="3"/>
      <c r="V141" s="2"/>
      <c r="X141" s="2"/>
    </row>
    <row r="142" spans="1:31" ht="22.5" customHeight="1" x14ac:dyDescent="0.25">
      <c r="A142" s="8">
        <f t="shared" si="4"/>
        <v>141</v>
      </c>
      <c r="B142" s="24" t="s">
        <v>276</v>
      </c>
      <c r="C142" s="27">
        <v>36940</v>
      </c>
      <c r="D142" s="45">
        <f t="shared" ca="1" si="5"/>
        <v>25</v>
      </c>
      <c r="E142" s="4">
        <v>42</v>
      </c>
      <c r="F142" s="4" t="s">
        <v>19</v>
      </c>
      <c r="G142" s="4" t="s">
        <v>86</v>
      </c>
      <c r="H142" s="4" t="s">
        <v>21</v>
      </c>
      <c r="I142" s="44" t="s">
        <v>622</v>
      </c>
      <c r="J142" s="5" t="s">
        <v>117</v>
      </c>
      <c r="K142" s="36" t="s">
        <v>199</v>
      </c>
      <c r="L142"/>
      <c r="M142"/>
      <c r="N142"/>
      <c r="O142"/>
      <c r="P142"/>
      <c r="S142" s="3"/>
      <c r="V142" s="2"/>
      <c r="X142" s="2"/>
    </row>
    <row r="143" spans="1:31" ht="22.5" customHeight="1" x14ac:dyDescent="0.25">
      <c r="A143" s="8">
        <f t="shared" si="4"/>
        <v>142</v>
      </c>
      <c r="B143" s="24" t="s">
        <v>390</v>
      </c>
      <c r="C143" s="27">
        <v>37016</v>
      </c>
      <c r="D143" s="45">
        <f t="shared" ca="1" si="5"/>
        <v>24</v>
      </c>
      <c r="E143" s="4">
        <v>50</v>
      </c>
      <c r="F143" s="4" t="s">
        <v>19</v>
      </c>
      <c r="G143" s="4" t="s">
        <v>37</v>
      </c>
      <c r="H143" s="4" t="s">
        <v>21</v>
      </c>
      <c r="I143" s="44" t="s">
        <v>621</v>
      </c>
      <c r="J143" s="5" t="s">
        <v>117</v>
      </c>
      <c r="K143" s="36" t="s">
        <v>199</v>
      </c>
      <c r="L143"/>
      <c r="M143"/>
      <c r="N143"/>
      <c r="O143"/>
      <c r="P143"/>
      <c r="S143" s="3"/>
      <c r="V143" s="2"/>
      <c r="X143" s="2"/>
    </row>
    <row r="144" spans="1:31" ht="22.5" customHeight="1" x14ac:dyDescent="0.25">
      <c r="A144" s="8">
        <f t="shared" si="4"/>
        <v>143</v>
      </c>
      <c r="B144" s="24" t="s">
        <v>523</v>
      </c>
      <c r="C144" s="27">
        <v>43892</v>
      </c>
      <c r="D144" s="45">
        <f t="shared" ca="1" si="5"/>
        <v>6</v>
      </c>
      <c r="E144" s="4">
        <v>23</v>
      </c>
      <c r="F144" s="4" t="s">
        <v>25</v>
      </c>
      <c r="G144" s="4" t="s">
        <v>50</v>
      </c>
      <c r="H144" s="4" t="s">
        <v>21</v>
      </c>
      <c r="I144" s="44" t="s">
        <v>622</v>
      </c>
      <c r="J144" s="5" t="s">
        <v>154</v>
      </c>
      <c r="K144" s="36" t="s">
        <v>155</v>
      </c>
      <c r="L144"/>
      <c r="M144"/>
      <c r="N144"/>
      <c r="O144"/>
      <c r="P144"/>
      <c r="S144" s="3"/>
      <c r="V144" s="2"/>
      <c r="X144" s="2"/>
    </row>
    <row r="145" spans="1:24" ht="22.5" customHeight="1" x14ac:dyDescent="0.25">
      <c r="A145" s="8">
        <f t="shared" si="4"/>
        <v>144</v>
      </c>
      <c r="B145" s="24" t="s">
        <v>203</v>
      </c>
      <c r="C145" s="27">
        <v>44046</v>
      </c>
      <c r="D145" s="45">
        <f t="shared" ca="1" si="5"/>
        <v>5</v>
      </c>
      <c r="E145" s="4">
        <v>24</v>
      </c>
      <c r="F145" s="4" t="s">
        <v>25</v>
      </c>
      <c r="G145" s="4" t="s">
        <v>39</v>
      </c>
      <c r="H145" s="4" t="s">
        <v>21</v>
      </c>
      <c r="I145" s="44" t="s">
        <v>622</v>
      </c>
      <c r="J145" s="5" t="s">
        <v>154</v>
      </c>
      <c r="K145" s="36" t="s">
        <v>155</v>
      </c>
      <c r="L145"/>
      <c r="M145"/>
      <c r="N145"/>
      <c r="O145"/>
      <c r="P145"/>
      <c r="S145" s="3"/>
      <c r="V145" s="2"/>
      <c r="X145" s="2"/>
    </row>
    <row r="146" spans="1:24" ht="22.5" customHeight="1" x14ac:dyDescent="0.25">
      <c r="A146" s="8">
        <f t="shared" si="4"/>
        <v>145</v>
      </c>
      <c r="B146" s="24" t="s">
        <v>519</v>
      </c>
      <c r="C146" s="27">
        <v>43895</v>
      </c>
      <c r="D146" s="45">
        <f t="shared" ca="1" si="5"/>
        <v>6</v>
      </c>
      <c r="E146" s="4">
        <v>17</v>
      </c>
      <c r="F146" s="4" t="s">
        <v>19</v>
      </c>
      <c r="G146" s="4" t="s">
        <v>28</v>
      </c>
      <c r="H146" s="4" t="s">
        <v>21</v>
      </c>
      <c r="I146" s="44" t="s">
        <v>620</v>
      </c>
      <c r="J146" s="5" t="s">
        <v>154</v>
      </c>
      <c r="K146" s="36" t="s">
        <v>155</v>
      </c>
      <c r="L146"/>
      <c r="M146"/>
      <c r="N146"/>
      <c r="O146"/>
      <c r="P146"/>
      <c r="S146" s="3"/>
      <c r="V146" s="2"/>
      <c r="X146" s="2"/>
    </row>
    <row r="147" spans="1:24" ht="22.5" customHeight="1" x14ac:dyDescent="0.25">
      <c r="A147" s="8">
        <f t="shared" si="4"/>
        <v>146</v>
      </c>
      <c r="B147" s="24" t="s">
        <v>359</v>
      </c>
      <c r="C147" s="27">
        <v>44252</v>
      </c>
      <c r="D147" s="45">
        <f t="shared" ca="1" si="5"/>
        <v>5</v>
      </c>
      <c r="E147" s="4">
        <v>21</v>
      </c>
      <c r="F147" s="4" t="s">
        <v>19</v>
      </c>
      <c r="G147" s="4" t="s">
        <v>50</v>
      </c>
      <c r="H147" s="4" t="s">
        <v>21</v>
      </c>
      <c r="I147" s="44" t="s">
        <v>620</v>
      </c>
      <c r="J147" s="5" t="s">
        <v>154</v>
      </c>
      <c r="K147" s="36" t="s">
        <v>155</v>
      </c>
      <c r="L147"/>
      <c r="M147"/>
      <c r="N147"/>
      <c r="O147"/>
      <c r="P147"/>
      <c r="S147" s="3"/>
      <c r="V147" s="2"/>
      <c r="X147" s="2"/>
    </row>
    <row r="148" spans="1:24" ht="22.5" customHeight="1" x14ac:dyDescent="0.25">
      <c r="A148" s="8">
        <f t="shared" si="4"/>
        <v>147</v>
      </c>
      <c r="B148" s="24" t="s">
        <v>360</v>
      </c>
      <c r="C148" s="27">
        <v>43834</v>
      </c>
      <c r="D148" s="45">
        <f t="shared" ca="1" si="5"/>
        <v>6</v>
      </c>
      <c r="E148" s="4">
        <v>20</v>
      </c>
      <c r="F148" s="4" t="s">
        <v>19</v>
      </c>
      <c r="G148" s="4" t="s">
        <v>50</v>
      </c>
      <c r="H148" s="4" t="s">
        <v>21</v>
      </c>
      <c r="I148" s="44" t="s">
        <v>621</v>
      </c>
      <c r="J148" s="5" t="s">
        <v>154</v>
      </c>
      <c r="K148" s="36" t="s">
        <v>155</v>
      </c>
      <c r="L148"/>
      <c r="M148"/>
      <c r="N148"/>
      <c r="O148"/>
      <c r="P148"/>
      <c r="S148" s="3"/>
      <c r="V148" s="2"/>
      <c r="X148" s="2"/>
    </row>
    <row r="149" spans="1:24" ht="22.5" customHeight="1" x14ac:dyDescent="0.25">
      <c r="A149" s="8">
        <f t="shared" si="4"/>
        <v>148</v>
      </c>
      <c r="B149" s="24" t="s">
        <v>513</v>
      </c>
      <c r="C149" s="27">
        <v>43885</v>
      </c>
      <c r="D149" s="45">
        <f t="shared" ca="1" si="5"/>
        <v>6</v>
      </c>
      <c r="E149" s="4">
        <v>25</v>
      </c>
      <c r="F149" s="4" t="s">
        <v>19</v>
      </c>
      <c r="G149" s="4" t="s">
        <v>42</v>
      </c>
      <c r="H149" s="4" t="s">
        <v>21</v>
      </c>
      <c r="I149" s="44" t="s">
        <v>621</v>
      </c>
      <c r="J149" s="5" t="s">
        <v>154</v>
      </c>
      <c r="K149" s="36" t="s">
        <v>155</v>
      </c>
      <c r="L149"/>
      <c r="M149"/>
      <c r="N149"/>
      <c r="O149"/>
      <c r="P149"/>
      <c r="S149" s="3"/>
      <c r="V149" s="2"/>
      <c r="X149" s="2"/>
    </row>
    <row r="150" spans="1:24" ht="22.5" customHeight="1" x14ac:dyDescent="0.25">
      <c r="A150" s="8">
        <f t="shared" si="4"/>
        <v>149</v>
      </c>
      <c r="B150" s="24" t="s">
        <v>460</v>
      </c>
      <c r="C150" s="27">
        <v>43478</v>
      </c>
      <c r="D150" s="45">
        <f t="shared" ca="1" si="5"/>
        <v>7</v>
      </c>
      <c r="E150" s="4">
        <v>19</v>
      </c>
      <c r="F150" s="4" t="s">
        <v>25</v>
      </c>
      <c r="G150" s="4" t="s">
        <v>50</v>
      </c>
      <c r="H150" s="4" t="s">
        <v>21</v>
      </c>
      <c r="I150" s="44" t="s">
        <v>620</v>
      </c>
      <c r="J150" s="5" t="s">
        <v>154</v>
      </c>
      <c r="K150" s="36" t="s">
        <v>155</v>
      </c>
      <c r="L150"/>
      <c r="M150"/>
      <c r="N150"/>
      <c r="O150"/>
      <c r="P150"/>
      <c r="S150" s="3"/>
      <c r="V150" s="2"/>
      <c r="X150" s="2"/>
    </row>
    <row r="151" spans="1:24" ht="22.5" customHeight="1" x14ac:dyDescent="0.25">
      <c r="A151" s="8">
        <f t="shared" si="4"/>
        <v>150</v>
      </c>
      <c r="B151" s="24" t="s">
        <v>601</v>
      </c>
      <c r="C151" s="27">
        <v>43792</v>
      </c>
      <c r="D151" s="45">
        <f t="shared" ca="1" si="5"/>
        <v>6</v>
      </c>
      <c r="E151" s="4">
        <v>20</v>
      </c>
      <c r="F151" s="4" t="s">
        <v>25</v>
      </c>
      <c r="G151" s="4" t="s">
        <v>28</v>
      </c>
      <c r="H151" s="4" t="s">
        <v>21</v>
      </c>
      <c r="I151" s="44" t="s">
        <v>622</v>
      </c>
      <c r="J151" s="5" t="s">
        <v>154</v>
      </c>
      <c r="K151" s="36" t="s">
        <v>155</v>
      </c>
      <c r="L151"/>
      <c r="M151"/>
      <c r="N151"/>
      <c r="O151"/>
      <c r="P151"/>
      <c r="S151" s="3"/>
      <c r="V151" s="2"/>
      <c r="X151" s="2"/>
    </row>
    <row r="152" spans="1:24" ht="22.5" customHeight="1" x14ac:dyDescent="0.25">
      <c r="A152" s="8">
        <f t="shared" si="4"/>
        <v>151</v>
      </c>
      <c r="B152" s="24" t="s">
        <v>455</v>
      </c>
      <c r="C152" s="27">
        <v>43597</v>
      </c>
      <c r="D152" s="45">
        <f t="shared" ca="1" si="5"/>
        <v>6</v>
      </c>
      <c r="E152" s="4">
        <v>19</v>
      </c>
      <c r="F152" s="4" t="s">
        <v>19</v>
      </c>
      <c r="G152" s="4" t="s">
        <v>50</v>
      </c>
      <c r="H152" s="4" t="s">
        <v>21</v>
      </c>
      <c r="I152" s="44" t="s">
        <v>621</v>
      </c>
      <c r="J152" s="5" t="s">
        <v>154</v>
      </c>
      <c r="K152" s="36" t="s">
        <v>155</v>
      </c>
      <c r="L152"/>
      <c r="M152"/>
      <c r="N152"/>
      <c r="O152"/>
      <c r="P152"/>
      <c r="S152" s="3"/>
      <c r="V152" s="2"/>
      <c r="X152" s="2"/>
    </row>
    <row r="153" spans="1:24" ht="22.5" customHeight="1" x14ac:dyDescent="0.25">
      <c r="A153" s="8">
        <f t="shared" si="4"/>
        <v>152</v>
      </c>
      <c r="B153" s="24" t="s">
        <v>193</v>
      </c>
      <c r="C153" s="27">
        <v>43714</v>
      </c>
      <c r="D153" s="45">
        <f t="shared" ca="1" si="5"/>
        <v>6</v>
      </c>
      <c r="E153" s="4">
        <v>20</v>
      </c>
      <c r="F153" s="4" t="s">
        <v>19</v>
      </c>
      <c r="G153" s="4" t="s">
        <v>28</v>
      </c>
      <c r="H153" s="4" t="s">
        <v>21</v>
      </c>
      <c r="I153" s="44" t="s">
        <v>622</v>
      </c>
      <c r="J153" s="5" t="s">
        <v>154</v>
      </c>
      <c r="K153" s="36" t="s">
        <v>155</v>
      </c>
      <c r="L153"/>
      <c r="M153"/>
      <c r="N153"/>
      <c r="O153"/>
      <c r="P153"/>
      <c r="S153" s="3"/>
      <c r="V153" s="2"/>
      <c r="X153" s="2"/>
    </row>
    <row r="154" spans="1:24" ht="22.5" customHeight="1" x14ac:dyDescent="0.25">
      <c r="A154" s="8">
        <f t="shared" si="4"/>
        <v>153</v>
      </c>
      <c r="B154" s="24" t="s">
        <v>328</v>
      </c>
      <c r="C154" s="27">
        <v>43106</v>
      </c>
      <c r="D154" s="45">
        <f t="shared" ca="1" si="5"/>
        <v>8</v>
      </c>
      <c r="E154" s="4">
        <v>20</v>
      </c>
      <c r="F154" s="4" t="s">
        <v>25</v>
      </c>
      <c r="G154" s="4" t="s">
        <v>20</v>
      </c>
      <c r="H154" s="4" t="s">
        <v>21</v>
      </c>
      <c r="I154" s="44" t="s">
        <v>622</v>
      </c>
      <c r="J154" s="5" t="s">
        <v>154</v>
      </c>
      <c r="K154" s="36" t="s">
        <v>155</v>
      </c>
      <c r="L154"/>
      <c r="M154"/>
      <c r="N154"/>
      <c r="O154"/>
      <c r="P154"/>
      <c r="S154" s="3"/>
      <c r="V154" s="2"/>
      <c r="X154" s="2"/>
    </row>
    <row r="155" spans="1:24" ht="22.5" customHeight="1" x14ac:dyDescent="0.25">
      <c r="A155" s="8">
        <f t="shared" si="4"/>
        <v>154</v>
      </c>
      <c r="B155" s="24" t="s">
        <v>362</v>
      </c>
      <c r="C155" s="27">
        <v>43444</v>
      </c>
      <c r="D155" s="45">
        <f t="shared" ca="1" si="5"/>
        <v>7</v>
      </c>
      <c r="E155" s="4">
        <v>16</v>
      </c>
      <c r="F155" s="4" t="s">
        <v>19</v>
      </c>
      <c r="G155" s="4" t="s">
        <v>42</v>
      </c>
      <c r="H155" s="4" t="s">
        <v>21</v>
      </c>
      <c r="I155" s="44" t="s">
        <v>620</v>
      </c>
      <c r="J155" s="5" t="s">
        <v>154</v>
      </c>
      <c r="K155" s="36" t="s">
        <v>155</v>
      </c>
      <c r="L155"/>
      <c r="M155"/>
      <c r="N155"/>
      <c r="O155"/>
      <c r="P155"/>
      <c r="S155" s="3"/>
      <c r="V155" s="2"/>
      <c r="X155" s="2"/>
    </row>
    <row r="156" spans="1:24" ht="22.5" customHeight="1" x14ac:dyDescent="0.25">
      <c r="A156" s="8">
        <f t="shared" si="4"/>
        <v>155</v>
      </c>
      <c r="B156" s="24" t="s">
        <v>378</v>
      </c>
      <c r="C156" s="27">
        <v>43043</v>
      </c>
      <c r="D156" s="45">
        <f t="shared" ca="1" si="5"/>
        <v>8</v>
      </c>
      <c r="E156" s="4">
        <v>20</v>
      </c>
      <c r="F156" s="4" t="s">
        <v>25</v>
      </c>
      <c r="G156" s="4" t="s">
        <v>39</v>
      </c>
      <c r="H156" s="4" t="s">
        <v>21</v>
      </c>
      <c r="I156" s="44" t="s">
        <v>620</v>
      </c>
      <c r="J156" s="5" t="s">
        <v>154</v>
      </c>
      <c r="K156" s="36" t="s">
        <v>155</v>
      </c>
      <c r="L156"/>
      <c r="M156"/>
      <c r="N156"/>
      <c r="O156"/>
      <c r="P156"/>
      <c r="S156" s="3"/>
      <c r="V156" s="2"/>
      <c r="X156" s="2"/>
    </row>
    <row r="157" spans="1:24" ht="22.5" customHeight="1" x14ac:dyDescent="0.25">
      <c r="A157" s="8">
        <f t="shared" si="4"/>
        <v>156</v>
      </c>
      <c r="B157" s="24" t="s">
        <v>517</v>
      </c>
      <c r="C157" s="27">
        <v>42894</v>
      </c>
      <c r="D157" s="45">
        <f t="shared" ca="1" si="5"/>
        <v>8</v>
      </c>
      <c r="E157" s="4">
        <v>21.7</v>
      </c>
      <c r="F157" s="4" t="s">
        <v>25</v>
      </c>
      <c r="G157" s="4" t="s">
        <v>28</v>
      </c>
      <c r="H157" s="4" t="s">
        <v>21</v>
      </c>
      <c r="I157" s="44" t="s">
        <v>621</v>
      </c>
      <c r="J157" s="5" t="s">
        <v>154</v>
      </c>
      <c r="K157" s="36" t="s">
        <v>155</v>
      </c>
      <c r="L157"/>
      <c r="M157"/>
      <c r="N157"/>
      <c r="O157"/>
      <c r="P157"/>
      <c r="S157" s="3"/>
      <c r="V157" s="2"/>
      <c r="X157" s="2"/>
    </row>
    <row r="158" spans="1:24" ht="22.5" customHeight="1" x14ac:dyDescent="0.25">
      <c r="A158" s="8">
        <f t="shared" si="4"/>
        <v>157</v>
      </c>
      <c r="B158" s="24" t="s">
        <v>177</v>
      </c>
      <c r="C158" s="27">
        <v>43039</v>
      </c>
      <c r="D158" s="45">
        <f t="shared" ca="1" si="5"/>
        <v>8</v>
      </c>
      <c r="E158" s="4">
        <v>25</v>
      </c>
      <c r="F158" s="4" t="s">
        <v>25</v>
      </c>
      <c r="G158" s="4" t="s">
        <v>39</v>
      </c>
      <c r="H158" s="4" t="s">
        <v>21</v>
      </c>
      <c r="I158" s="44" t="s">
        <v>621</v>
      </c>
      <c r="J158" s="5" t="s">
        <v>154</v>
      </c>
      <c r="K158" s="36" t="s">
        <v>155</v>
      </c>
      <c r="L158"/>
      <c r="M158"/>
      <c r="N158"/>
      <c r="O158"/>
      <c r="P158"/>
      <c r="S158" s="3"/>
      <c r="V158" s="2"/>
      <c r="X158" s="2"/>
    </row>
    <row r="159" spans="1:24" ht="22.5" customHeight="1" x14ac:dyDescent="0.25">
      <c r="A159" s="8">
        <f t="shared" si="4"/>
        <v>158</v>
      </c>
      <c r="B159" s="24" t="s">
        <v>567</v>
      </c>
      <c r="C159" s="29">
        <v>42995</v>
      </c>
      <c r="D159" s="45">
        <f t="shared" ca="1" si="5"/>
        <v>8</v>
      </c>
      <c r="E159" s="16">
        <v>27</v>
      </c>
      <c r="F159" s="16" t="s">
        <v>25</v>
      </c>
      <c r="G159" s="16" t="s">
        <v>39</v>
      </c>
      <c r="H159" s="16" t="s">
        <v>21</v>
      </c>
      <c r="I159" s="44" t="s">
        <v>620</v>
      </c>
      <c r="J159" s="17" t="s">
        <v>154</v>
      </c>
      <c r="K159" s="39" t="s">
        <v>155</v>
      </c>
      <c r="L159"/>
      <c r="M159"/>
      <c r="N159"/>
      <c r="O159"/>
      <c r="P159"/>
      <c r="S159" s="3"/>
      <c r="V159" s="2"/>
      <c r="X159" s="2"/>
    </row>
    <row r="160" spans="1:24" ht="22.5" customHeight="1" x14ac:dyDescent="0.25">
      <c r="A160" s="8">
        <f t="shared" si="4"/>
        <v>159</v>
      </c>
      <c r="B160" s="24" t="s">
        <v>275</v>
      </c>
      <c r="C160" s="27">
        <v>43036</v>
      </c>
      <c r="D160" s="45">
        <f t="shared" ca="1" si="5"/>
        <v>8</v>
      </c>
      <c r="E160" s="4">
        <v>30</v>
      </c>
      <c r="F160" s="4" t="s">
        <v>25</v>
      </c>
      <c r="G160" s="4" t="s">
        <v>39</v>
      </c>
      <c r="H160" s="4" t="s">
        <v>21</v>
      </c>
      <c r="I160" s="44" t="s">
        <v>622</v>
      </c>
      <c r="J160" s="5" t="s">
        <v>154</v>
      </c>
      <c r="K160" s="36" t="s">
        <v>155</v>
      </c>
      <c r="L160"/>
      <c r="M160"/>
      <c r="N160"/>
      <c r="O160"/>
      <c r="P160"/>
      <c r="S160" s="3"/>
      <c r="V160" s="2"/>
      <c r="X160" s="2"/>
    </row>
    <row r="161" spans="1:31" ht="22.5" customHeight="1" x14ac:dyDescent="0.25">
      <c r="A161" s="8">
        <f t="shared" si="4"/>
        <v>160</v>
      </c>
      <c r="B161" s="24" t="s">
        <v>192</v>
      </c>
      <c r="C161" s="27">
        <v>42928</v>
      </c>
      <c r="D161" s="45">
        <f t="shared" ca="1" si="5"/>
        <v>8</v>
      </c>
      <c r="E161" s="4">
        <v>30</v>
      </c>
      <c r="F161" s="4" t="s">
        <v>25</v>
      </c>
      <c r="G161" s="4" t="s">
        <v>39</v>
      </c>
      <c r="H161" s="4" t="s">
        <v>21</v>
      </c>
      <c r="I161" s="44" t="s">
        <v>621</v>
      </c>
      <c r="J161" s="5" t="s">
        <v>154</v>
      </c>
      <c r="K161" s="36" t="s">
        <v>155</v>
      </c>
      <c r="L161"/>
      <c r="M161"/>
      <c r="N161"/>
      <c r="O161"/>
      <c r="P161"/>
      <c r="S161" s="3"/>
      <c r="V161" s="2"/>
      <c r="X161" s="2"/>
    </row>
    <row r="162" spans="1:31" ht="22.5" customHeight="1" x14ac:dyDescent="0.25">
      <c r="A162" s="8">
        <f t="shared" si="4"/>
        <v>161</v>
      </c>
      <c r="B162" s="24" t="s">
        <v>168</v>
      </c>
      <c r="C162" s="27">
        <v>42850</v>
      </c>
      <c r="D162" s="45">
        <f t="shared" ca="1" si="5"/>
        <v>8</v>
      </c>
      <c r="E162" s="4">
        <v>35</v>
      </c>
      <c r="F162" s="4" t="s">
        <v>25</v>
      </c>
      <c r="G162" s="4" t="s">
        <v>32</v>
      </c>
      <c r="H162" s="4" t="s">
        <v>21</v>
      </c>
      <c r="I162" s="44" t="s">
        <v>622</v>
      </c>
      <c r="J162" s="5" t="s">
        <v>154</v>
      </c>
      <c r="K162" s="36" t="s">
        <v>155</v>
      </c>
      <c r="L162"/>
      <c r="M162"/>
      <c r="N162"/>
      <c r="O162"/>
      <c r="P162"/>
      <c r="S162" s="3"/>
      <c r="V162" s="2"/>
      <c r="X162" s="2"/>
    </row>
    <row r="163" spans="1:31" ht="22.5" customHeight="1" x14ac:dyDescent="0.25">
      <c r="A163" s="8">
        <f t="shared" si="4"/>
        <v>162</v>
      </c>
      <c r="B163" s="24" t="s">
        <v>417</v>
      </c>
      <c r="C163" s="27">
        <v>42862</v>
      </c>
      <c r="D163" s="45">
        <f t="shared" ca="1" si="5"/>
        <v>8</v>
      </c>
      <c r="E163" s="4">
        <v>35</v>
      </c>
      <c r="F163" s="4" t="s">
        <v>25</v>
      </c>
      <c r="G163" s="4" t="s">
        <v>86</v>
      </c>
      <c r="H163" s="4" t="s">
        <v>21</v>
      </c>
      <c r="I163" s="44" t="s">
        <v>622</v>
      </c>
      <c r="J163" s="5" t="s">
        <v>154</v>
      </c>
      <c r="K163" s="36" t="s">
        <v>155</v>
      </c>
      <c r="L163"/>
      <c r="M163"/>
      <c r="N163"/>
      <c r="O163"/>
      <c r="P163"/>
      <c r="S163" s="3"/>
      <c r="V163" s="2"/>
      <c r="X163" s="2"/>
    </row>
    <row r="164" spans="1:31" ht="22.5" customHeight="1" x14ac:dyDescent="0.25">
      <c r="A164" s="8">
        <f t="shared" si="4"/>
        <v>163</v>
      </c>
      <c r="B164" s="24" t="s">
        <v>521</v>
      </c>
      <c r="C164" s="27">
        <v>42926</v>
      </c>
      <c r="D164" s="45">
        <f t="shared" ca="1" si="5"/>
        <v>8</v>
      </c>
      <c r="E164" s="4">
        <v>20</v>
      </c>
      <c r="F164" s="4" t="s">
        <v>19</v>
      </c>
      <c r="G164" s="4" t="s">
        <v>28</v>
      </c>
      <c r="H164" s="4" t="s">
        <v>21</v>
      </c>
      <c r="I164" s="44" t="s">
        <v>620</v>
      </c>
      <c r="J164" s="5" t="s">
        <v>154</v>
      </c>
      <c r="K164" s="36" t="s">
        <v>155</v>
      </c>
      <c r="L164"/>
      <c r="M164"/>
      <c r="N164"/>
      <c r="O164"/>
      <c r="P164"/>
      <c r="S164" s="3"/>
      <c r="V164" s="2"/>
      <c r="X164" s="2"/>
    </row>
    <row r="165" spans="1:31" ht="22.5" customHeight="1" x14ac:dyDescent="0.25">
      <c r="A165" s="8">
        <f t="shared" si="4"/>
        <v>164</v>
      </c>
      <c r="B165" s="24" t="s">
        <v>413</v>
      </c>
      <c r="C165" s="27">
        <v>42569</v>
      </c>
      <c r="D165" s="45">
        <f t="shared" ca="1" si="5"/>
        <v>9</v>
      </c>
      <c r="E165" s="4">
        <v>24</v>
      </c>
      <c r="F165" s="4" t="s">
        <v>25</v>
      </c>
      <c r="G165" s="4" t="s">
        <v>39</v>
      </c>
      <c r="H165" s="4" t="s">
        <v>21</v>
      </c>
      <c r="I165" s="44" t="s">
        <v>620</v>
      </c>
      <c r="J165" s="5" t="s">
        <v>154</v>
      </c>
      <c r="K165" s="36" t="s">
        <v>155</v>
      </c>
      <c r="L165"/>
      <c r="M165"/>
      <c r="N165"/>
      <c r="O165"/>
      <c r="P165"/>
      <c r="S165" s="3"/>
      <c r="V165" s="2"/>
      <c r="X165" s="2"/>
    </row>
    <row r="166" spans="1:31" ht="22.5" customHeight="1" x14ac:dyDescent="0.25">
      <c r="A166" s="8">
        <f t="shared" si="4"/>
        <v>165</v>
      </c>
      <c r="B166" s="24" t="s">
        <v>456</v>
      </c>
      <c r="C166" s="27">
        <v>42680</v>
      </c>
      <c r="D166" s="45">
        <f t="shared" ca="1" si="5"/>
        <v>9</v>
      </c>
      <c r="E166" s="4">
        <v>30</v>
      </c>
      <c r="F166" s="4" t="s">
        <v>25</v>
      </c>
      <c r="G166" s="4" t="s">
        <v>61</v>
      </c>
      <c r="H166" s="4" t="s">
        <v>21</v>
      </c>
      <c r="I166" s="44" t="s">
        <v>621</v>
      </c>
      <c r="J166" s="5" t="s">
        <v>154</v>
      </c>
      <c r="K166" s="36" t="s">
        <v>155</v>
      </c>
      <c r="L166"/>
      <c r="M166"/>
      <c r="N166"/>
      <c r="O166"/>
      <c r="P166"/>
      <c r="S166" s="3"/>
      <c r="V166" s="2"/>
      <c r="X166" s="2"/>
    </row>
    <row r="167" spans="1:31" ht="22.5" customHeight="1" x14ac:dyDescent="0.25">
      <c r="A167" s="8">
        <f t="shared" si="4"/>
        <v>166</v>
      </c>
      <c r="B167" s="24" t="s">
        <v>427</v>
      </c>
      <c r="C167" s="27">
        <v>42722</v>
      </c>
      <c r="D167" s="45">
        <f t="shared" ca="1" si="5"/>
        <v>9</v>
      </c>
      <c r="E167" s="4">
        <v>23</v>
      </c>
      <c r="F167" s="4" t="s">
        <v>19</v>
      </c>
      <c r="G167" s="4" t="s">
        <v>42</v>
      </c>
      <c r="H167" s="4" t="s">
        <v>21</v>
      </c>
      <c r="I167" s="44" t="s">
        <v>621</v>
      </c>
      <c r="J167" s="5" t="s">
        <v>154</v>
      </c>
      <c r="K167" s="36" t="s">
        <v>155</v>
      </c>
      <c r="L167"/>
      <c r="M167"/>
      <c r="N167"/>
      <c r="O167"/>
      <c r="P167"/>
      <c r="S167" s="3"/>
      <c r="V167" s="2"/>
      <c r="X167" s="2"/>
    </row>
    <row r="168" spans="1:31" ht="22.5" customHeight="1" x14ac:dyDescent="0.25">
      <c r="A168" s="8">
        <f t="shared" si="4"/>
        <v>167</v>
      </c>
      <c r="B168" s="24" t="s">
        <v>490</v>
      </c>
      <c r="C168" s="27">
        <v>42429</v>
      </c>
      <c r="D168" s="45">
        <f t="shared" ca="1" si="5"/>
        <v>10</v>
      </c>
      <c r="E168" s="4">
        <v>23</v>
      </c>
      <c r="F168" s="4" t="s">
        <v>19</v>
      </c>
      <c r="G168" s="4" t="s">
        <v>42</v>
      </c>
      <c r="H168" s="4" t="s">
        <v>21</v>
      </c>
      <c r="I168" s="44" t="s">
        <v>620</v>
      </c>
      <c r="J168" s="5" t="s">
        <v>154</v>
      </c>
      <c r="K168" s="36" t="s">
        <v>155</v>
      </c>
      <c r="L168"/>
      <c r="M168"/>
      <c r="N168"/>
      <c r="O168"/>
      <c r="P168"/>
      <c r="S168" s="3"/>
      <c r="V168" s="2"/>
      <c r="X168" s="2"/>
    </row>
    <row r="169" spans="1:31" ht="22.5" customHeight="1" x14ac:dyDescent="0.25">
      <c r="A169" s="8">
        <f t="shared" si="4"/>
        <v>168</v>
      </c>
      <c r="B169" s="24" t="s">
        <v>332</v>
      </c>
      <c r="C169" s="27">
        <v>42655</v>
      </c>
      <c r="D169" s="45">
        <f t="shared" ca="1" si="5"/>
        <v>9</v>
      </c>
      <c r="E169" s="4">
        <v>24</v>
      </c>
      <c r="F169" s="4" t="s">
        <v>19</v>
      </c>
      <c r="G169" s="4" t="s">
        <v>61</v>
      </c>
      <c r="H169" s="4" t="s">
        <v>21</v>
      </c>
      <c r="I169" s="44" t="s">
        <v>622</v>
      </c>
      <c r="J169" s="5" t="s">
        <v>154</v>
      </c>
      <c r="K169" s="36" t="s">
        <v>155</v>
      </c>
      <c r="L169"/>
      <c r="M169"/>
      <c r="N169"/>
      <c r="O169"/>
      <c r="P169"/>
      <c r="S169" s="3"/>
      <c r="V169" s="2"/>
      <c r="X169" s="2"/>
    </row>
    <row r="170" spans="1:31" ht="22.5" customHeight="1" x14ac:dyDescent="0.25">
      <c r="A170" s="8">
        <f t="shared" si="4"/>
        <v>169</v>
      </c>
      <c r="B170" s="24" t="s">
        <v>326</v>
      </c>
      <c r="C170" s="27">
        <v>42703</v>
      </c>
      <c r="D170" s="45">
        <f t="shared" ca="1" si="5"/>
        <v>9</v>
      </c>
      <c r="E170" s="4">
        <v>30</v>
      </c>
      <c r="F170" s="4" t="s">
        <v>19</v>
      </c>
      <c r="G170" s="4" t="s">
        <v>28</v>
      </c>
      <c r="H170" s="4" t="s">
        <v>21</v>
      </c>
      <c r="I170" s="44" t="s">
        <v>621</v>
      </c>
      <c r="J170" s="5" t="s">
        <v>154</v>
      </c>
      <c r="K170" s="36" t="s">
        <v>155</v>
      </c>
      <c r="L170"/>
      <c r="M170"/>
      <c r="N170"/>
      <c r="O170"/>
      <c r="P170"/>
      <c r="S170" s="3"/>
      <c r="V170" s="2"/>
      <c r="X170" s="2"/>
    </row>
    <row r="171" spans="1:31" ht="22.5" customHeight="1" x14ac:dyDescent="0.25">
      <c r="A171" s="8">
        <f t="shared" si="4"/>
        <v>170</v>
      </c>
      <c r="B171" s="24" t="s">
        <v>411</v>
      </c>
      <c r="C171" s="27">
        <v>42615</v>
      </c>
      <c r="D171" s="45">
        <f t="shared" ca="1" si="5"/>
        <v>9</v>
      </c>
      <c r="E171" s="4">
        <v>39</v>
      </c>
      <c r="F171" s="4" t="s">
        <v>19</v>
      </c>
      <c r="G171" s="4" t="s">
        <v>20</v>
      </c>
      <c r="H171" s="4" t="s">
        <v>21</v>
      </c>
      <c r="I171" s="44" t="s">
        <v>622</v>
      </c>
      <c r="J171" s="5" t="s">
        <v>154</v>
      </c>
      <c r="K171" s="36" t="s">
        <v>155</v>
      </c>
      <c r="L171"/>
      <c r="M171"/>
      <c r="N171"/>
      <c r="O171"/>
      <c r="P171"/>
      <c r="S171" s="3"/>
      <c r="V171" s="2"/>
      <c r="X171" s="2"/>
    </row>
    <row r="172" spans="1:31" ht="22.5" customHeight="1" x14ac:dyDescent="0.25">
      <c r="A172" s="8">
        <f t="shared" si="4"/>
        <v>171</v>
      </c>
      <c r="B172" s="24" t="s">
        <v>153</v>
      </c>
      <c r="C172" s="27">
        <v>42239</v>
      </c>
      <c r="D172" s="45">
        <f t="shared" ca="1" si="5"/>
        <v>10</v>
      </c>
      <c r="E172" s="4">
        <v>24</v>
      </c>
      <c r="F172" s="4" t="s">
        <v>25</v>
      </c>
      <c r="G172" s="4" t="s">
        <v>39</v>
      </c>
      <c r="H172" s="4" t="s">
        <v>21</v>
      </c>
      <c r="I172" s="44" t="s">
        <v>622</v>
      </c>
      <c r="J172" s="5" t="s">
        <v>154</v>
      </c>
      <c r="K172" s="36" t="s">
        <v>155</v>
      </c>
      <c r="L172"/>
      <c r="M172"/>
      <c r="N172"/>
      <c r="O172"/>
      <c r="P172"/>
      <c r="S172" s="3"/>
      <c r="V172" s="2"/>
      <c r="X172" s="2"/>
    </row>
    <row r="173" spans="1:31" ht="22.5" customHeight="1" x14ac:dyDescent="0.25">
      <c r="A173" s="8">
        <f t="shared" si="4"/>
        <v>172</v>
      </c>
      <c r="B173" s="24" t="s">
        <v>407</v>
      </c>
      <c r="C173" s="27">
        <v>42262</v>
      </c>
      <c r="D173" s="45">
        <f t="shared" ca="1" si="5"/>
        <v>10</v>
      </c>
      <c r="E173" s="4">
        <v>30</v>
      </c>
      <c r="F173" s="4" t="s">
        <v>25</v>
      </c>
      <c r="G173" s="4" t="s">
        <v>28</v>
      </c>
      <c r="H173" s="4" t="s">
        <v>21</v>
      </c>
      <c r="I173" s="44" t="s">
        <v>620</v>
      </c>
      <c r="J173" s="5" t="s">
        <v>154</v>
      </c>
      <c r="K173" s="36" t="s">
        <v>155</v>
      </c>
      <c r="L173" s="2"/>
      <c r="M173" s="2"/>
      <c r="N173" s="2"/>
      <c r="O173" s="2"/>
      <c r="P173" s="2"/>
      <c r="Q173" s="2"/>
      <c r="R173" s="2"/>
      <c r="S173" s="3"/>
      <c r="T173" s="2"/>
      <c r="U173" s="2"/>
      <c r="V173" s="2"/>
      <c r="W173" s="2"/>
      <c r="X173" s="2"/>
      <c r="Y173" s="2"/>
      <c r="Z173" s="2"/>
      <c r="AA173" s="2"/>
      <c r="AB173" s="2"/>
      <c r="AC173" s="2"/>
      <c r="AD173" s="2"/>
      <c r="AE173" s="2"/>
    </row>
    <row r="174" spans="1:31" ht="22.5" customHeight="1" x14ac:dyDescent="0.25">
      <c r="A174" s="8">
        <f t="shared" si="4"/>
        <v>173</v>
      </c>
      <c r="B174" s="24" t="s">
        <v>596</v>
      </c>
      <c r="C174" s="27">
        <v>42308</v>
      </c>
      <c r="D174" s="45">
        <f t="shared" ca="1" si="5"/>
        <v>10</v>
      </c>
      <c r="E174" s="4">
        <v>30.7</v>
      </c>
      <c r="F174" s="4" t="s">
        <v>25</v>
      </c>
      <c r="G174" s="4" t="s">
        <v>28</v>
      </c>
      <c r="H174" s="4" t="s">
        <v>21</v>
      </c>
      <c r="I174" s="44" t="s">
        <v>620</v>
      </c>
      <c r="J174" s="5" t="s">
        <v>597</v>
      </c>
      <c r="K174" s="36" t="s">
        <v>155</v>
      </c>
      <c r="L174" s="2"/>
      <c r="M174" s="2"/>
      <c r="N174" s="2"/>
      <c r="O174" s="2"/>
      <c r="P174" s="2"/>
      <c r="Q174" s="2"/>
      <c r="R174" s="2"/>
      <c r="S174" s="3"/>
      <c r="T174" s="2"/>
      <c r="U174" s="2"/>
      <c r="V174" s="2"/>
      <c r="W174" s="2"/>
      <c r="X174" s="2"/>
      <c r="Y174" s="2"/>
      <c r="Z174" s="2"/>
      <c r="AA174" s="2"/>
      <c r="AB174" s="2"/>
      <c r="AC174" s="2"/>
      <c r="AD174" s="2"/>
      <c r="AE174" s="2"/>
    </row>
    <row r="175" spans="1:31" ht="22.5" customHeight="1" x14ac:dyDescent="0.25">
      <c r="A175" s="8">
        <f t="shared" si="4"/>
        <v>174</v>
      </c>
      <c r="B175" s="24" t="s">
        <v>174</v>
      </c>
      <c r="C175" s="27">
        <v>42275</v>
      </c>
      <c r="D175" s="45">
        <f t="shared" ca="1" si="5"/>
        <v>10</v>
      </c>
      <c r="E175" s="4">
        <v>45</v>
      </c>
      <c r="F175" s="4" t="s">
        <v>25</v>
      </c>
      <c r="G175" s="4" t="s">
        <v>39</v>
      </c>
      <c r="H175" s="4" t="s">
        <v>21</v>
      </c>
      <c r="I175" s="44" t="s">
        <v>621</v>
      </c>
      <c r="J175" s="5" t="s">
        <v>154</v>
      </c>
      <c r="K175" s="36" t="s">
        <v>155</v>
      </c>
      <c r="L175" s="2"/>
      <c r="M175" s="2"/>
      <c r="N175" s="2"/>
      <c r="O175" s="2"/>
      <c r="P175" s="2"/>
      <c r="Q175" s="2"/>
      <c r="R175" s="2"/>
      <c r="S175" s="3"/>
      <c r="T175" s="2"/>
      <c r="U175" s="2"/>
      <c r="V175" s="2"/>
      <c r="W175" s="2"/>
      <c r="X175" s="2"/>
      <c r="Y175" s="2"/>
      <c r="Z175" s="2"/>
      <c r="AA175" s="2"/>
      <c r="AB175" s="2"/>
      <c r="AC175" s="2"/>
      <c r="AD175" s="2"/>
      <c r="AE175" s="2"/>
    </row>
    <row r="176" spans="1:31" ht="22.5" customHeight="1" x14ac:dyDescent="0.25">
      <c r="A176" s="8">
        <f t="shared" si="4"/>
        <v>175</v>
      </c>
      <c r="B176" s="24" t="s">
        <v>226</v>
      </c>
      <c r="C176" s="27">
        <v>42321</v>
      </c>
      <c r="D176" s="45">
        <f t="shared" ca="1" si="5"/>
        <v>10</v>
      </c>
      <c r="E176" s="4">
        <v>28</v>
      </c>
      <c r="F176" s="4" t="s">
        <v>19</v>
      </c>
      <c r="G176" s="4" t="s">
        <v>20</v>
      </c>
      <c r="H176" s="4" t="s">
        <v>21</v>
      </c>
      <c r="I176" s="44" t="s">
        <v>621</v>
      </c>
      <c r="J176" s="5" t="s">
        <v>154</v>
      </c>
      <c r="K176" s="36" t="s">
        <v>155</v>
      </c>
      <c r="L176" s="2"/>
      <c r="M176" s="2"/>
      <c r="N176" s="2"/>
      <c r="O176" s="2"/>
      <c r="P176" s="2"/>
      <c r="Q176" s="2"/>
      <c r="R176" s="2"/>
      <c r="S176" s="3"/>
      <c r="T176" s="2"/>
      <c r="U176" s="2"/>
      <c r="V176" s="2"/>
      <c r="W176" s="2"/>
      <c r="X176" s="2"/>
      <c r="Y176" s="2"/>
      <c r="Z176" s="2"/>
      <c r="AA176" s="2"/>
      <c r="AB176" s="2"/>
      <c r="AC176" s="2"/>
      <c r="AD176" s="2"/>
      <c r="AE176" s="2"/>
    </row>
    <row r="177" spans="1:31" ht="22.5" customHeight="1" x14ac:dyDescent="0.25">
      <c r="A177" s="8">
        <f t="shared" si="4"/>
        <v>176</v>
      </c>
      <c r="B177" s="24" t="s">
        <v>218</v>
      </c>
      <c r="C177" s="27">
        <v>42306</v>
      </c>
      <c r="D177" s="45">
        <f t="shared" ca="1" si="5"/>
        <v>10</v>
      </c>
      <c r="E177" s="4">
        <v>33</v>
      </c>
      <c r="F177" s="4" t="s">
        <v>19</v>
      </c>
      <c r="G177" s="4" t="s">
        <v>37</v>
      </c>
      <c r="H177" s="4" t="s">
        <v>21</v>
      </c>
      <c r="I177" s="44" t="s">
        <v>620</v>
      </c>
      <c r="J177" s="5" t="s">
        <v>154</v>
      </c>
      <c r="K177" s="36" t="s">
        <v>155</v>
      </c>
      <c r="L177" s="2"/>
      <c r="M177" s="2"/>
      <c r="N177" s="2"/>
      <c r="O177" s="2"/>
      <c r="P177" s="2"/>
      <c r="Q177" s="2"/>
      <c r="R177" s="2"/>
      <c r="S177" s="3"/>
      <c r="T177" s="2"/>
      <c r="U177" s="2"/>
      <c r="V177" s="2"/>
      <c r="W177" s="2"/>
      <c r="X177" s="2"/>
      <c r="Y177" s="2"/>
      <c r="Z177" s="2"/>
      <c r="AA177" s="2"/>
      <c r="AB177" s="2"/>
      <c r="AC177" s="2"/>
      <c r="AD177" s="2"/>
      <c r="AE177" s="2"/>
    </row>
    <row r="178" spans="1:31" ht="22.5" customHeight="1" x14ac:dyDescent="0.25">
      <c r="A178" s="8">
        <f t="shared" si="4"/>
        <v>177</v>
      </c>
      <c r="B178" s="24" t="s">
        <v>325</v>
      </c>
      <c r="C178" s="27">
        <v>41695</v>
      </c>
      <c r="D178" s="45">
        <f t="shared" ca="1" si="5"/>
        <v>12</v>
      </c>
      <c r="E178" s="4">
        <v>27</v>
      </c>
      <c r="F178" s="4" t="s">
        <v>25</v>
      </c>
      <c r="G178" s="4" t="s">
        <v>32</v>
      </c>
      <c r="H178" s="4" t="s">
        <v>21</v>
      </c>
      <c r="I178" s="44" t="s">
        <v>622</v>
      </c>
      <c r="J178" s="5" t="s">
        <v>154</v>
      </c>
      <c r="K178" s="36" t="s">
        <v>155</v>
      </c>
      <c r="L178" s="2"/>
      <c r="M178" s="2"/>
      <c r="N178" s="2"/>
      <c r="O178" s="2"/>
      <c r="P178" s="2"/>
      <c r="Q178" s="2"/>
      <c r="R178" s="2"/>
      <c r="S178" s="3"/>
      <c r="T178" s="2"/>
      <c r="U178" s="2"/>
      <c r="V178" s="2"/>
      <c r="W178" s="2"/>
      <c r="X178" s="2"/>
      <c r="Y178" s="2"/>
      <c r="Z178" s="2"/>
      <c r="AA178" s="2"/>
      <c r="AB178" s="2"/>
      <c r="AC178" s="2"/>
      <c r="AD178" s="2"/>
      <c r="AE178" s="2"/>
    </row>
    <row r="179" spans="1:31" ht="22.5" customHeight="1" x14ac:dyDescent="0.25">
      <c r="A179" s="8">
        <f t="shared" si="4"/>
        <v>178</v>
      </c>
      <c r="B179" s="24" t="s">
        <v>222</v>
      </c>
      <c r="C179" s="27">
        <v>41963</v>
      </c>
      <c r="D179" s="45">
        <f t="shared" ca="1" si="5"/>
        <v>11</v>
      </c>
      <c r="E179" s="4">
        <v>29</v>
      </c>
      <c r="F179" s="4" t="s">
        <v>25</v>
      </c>
      <c r="G179" s="4" t="s">
        <v>86</v>
      </c>
      <c r="H179" s="4" t="s">
        <v>21</v>
      </c>
      <c r="I179" s="44" t="s">
        <v>621</v>
      </c>
      <c r="J179" s="5" t="s">
        <v>154</v>
      </c>
      <c r="K179" s="36" t="s">
        <v>155</v>
      </c>
      <c r="L179" s="2"/>
      <c r="M179" s="2"/>
      <c r="N179" s="2"/>
      <c r="O179" s="2"/>
      <c r="P179" s="2"/>
      <c r="Q179" s="2"/>
      <c r="R179" s="2"/>
      <c r="S179" s="3"/>
      <c r="T179" s="2"/>
      <c r="U179" s="2"/>
      <c r="V179" s="2"/>
      <c r="W179" s="2"/>
      <c r="X179" s="2"/>
      <c r="Y179" s="2"/>
      <c r="Z179" s="2"/>
      <c r="AA179" s="2"/>
      <c r="AB179" s="2"/>
      <c r="AC179" s="2"/>
      <c r="AD179" s="2"/>
      <c r="AE179" s="2"/>
    </row>
    <row r="180" spans="1:31" ht="22.5" customHeight="1" x14ac:dyDescent="0.25">
      <c r="A180" s="8">
        <f t="shared" si="4"/>
        <v>179</v>
      </c>
      <c r="B180" s="24" t="s">
        <v>324</v>
      </c>
      <c r="C180" s="27">
        <v>41753</v>
      </c>
      <c r="D180" s="45">
        <f t="shared" ca="1" si="5"/>
        <v>11</v>
      </c>
      <c r="E180" s="4">
        <v>30</v>
      </c>
      <c r="F180" s="4" t="s">
        <v>25</v>
      </c>
      <c r="G180" s="4" t="s">
        <v>32</v>
      </c>
      <c r="H180" s="4" t="s">
        <v>21</v>
      </c>
      <c r="I180" s="44" t="s">
        <v>622</v>
      </c>
      <c r="J180" s="5" t="s">
        <v>154</v>
      </c>
      <c r="K180" s="36" t="s">
        <v>155</v>
      </c>
      <c r="L180" s="2"/>
      <c r="M180" s="2"/>
      <c r="N180" s="2"/>
      <c r="O180" s="2"/>
      <c r="P180" s="2"/>
      <c r="Q180" s="2"/>
      <c r="R180" s="2"/>
      <c r="S180" s="3"/>
      <c r="T180" s="2"/>
      <c r="U180" s="2"/>
      <c r="V180" s="2"/>
      <c r="W180" s="2"/>
      <c r="X180" s="2"/>
      <c r="Y180" s="2"/>
      <c r="Z180" s="2"/>
      <c r="AA180" s="2"/>
      <c r="AB180" s="2"/>
      <c r="AC180" s="2"/>
      <c r="AD180" s="2"/>
      <c r="AE180" s="2"/>
    </row>
    <row r="181" spans="1:31" ht="22.5" customHeight="1" x14ac:dyDescent="0.25">
      <c r="A181" s="8">
        <f t="shared" si="4"/>
        <v>180</v>
      </c>
      <c r="B181" s="24" t="s">
        <v>176</v>
      </c>
      <c r="C181" s="27">
        <v>41815</v>
      </c>
      <c r="D181" s="45">
        <f t="shared" ca="1" si="5"/>
        <v>11</v>
      </c>
      <c r="E181" s="4">
        <v>36</v>
      </c>
      <c r="F181" s="4" t="s">
        <v>25</v>
      </c>
      <c r="G181" s="4" t="s">
        <v>39</v>
      </c>
      <c r="H181" s="4" t="s">
        <v>21</v>
      </c>
      <c r="I181" s="44" t="s">
        <v>622</v>
      </c>
      <c r="J181" s="5" t="s">
        <v>154</v>
      </c>
      <c r="K181" s="36" t="s">
        <v>155</v>
      </c>
      <c r="L181" s="2"/>
      <c r="M181" s="2"/>
      <c r="N181" s="2"/>
      <c r="O181" s="2"/>
      <c r="P181" s="2"/>
      <c r="Q181" s="2"/>
      <c r="R181" s="2"/>
      <c r="S181" s="3"/>
      <c r="T181" s="2"/>
      <c r="U181" s="2"/>
      <c r="V181" s="2"/>
      <c r="W181" s="2"/>
      <c r="X181" s="2"/>
      <c r="Y181" s="2"/>
      <c r="Z181" s="2"/>
      <c r="AA181" s="2"/>
      <c r="AB181" s="2"/>
      <c r="AC181" s="2"/>
      <c r="AD181" s="2"/>
      <c r="AE181" s="2"/>
    </row>
    <row r="182" spans="1:31" ht="22.5" customHeight="1" x14ac:dyDescent="0.25">
      <c r="A182" s="8">
        <f t="shared" si="4"/>
        <v>181</v>
      </c>
      <c r="B182" s="24" t="s">
        <v>242</v>
      </c>
      <c r="C182" s="27">
        <v>41829</v>
      </c>
      <c r="D182" s="45">
        <f t="shared" ca="1" si="5"/>
        <v>11</v>
      </c>
      <c r="E182" s="4">
        <v>34</v>
      </c>
      <c r="F182" s="4" t="s">
        <v>19</v>
      </c>
      <c r="G182" s="4" t="s">
        <v>32</v>
      </c>
      <c r="H182" s="4" t="s">
        <v>21</v>
      </c>
      <c r="I182" s="44" t="s">
        <v>620</v>
      </c>
      <c r="J182" s="5" t="s">
        <v>154</v>
      </c>
      <c r="K182" s="36" t="s">
        <v>155</v>
      </c>
      <c r="L182" s="2"/>
      <c r="M182" s="2"/>
      <c r="N182" s="2"/>
      <c r="O182" s="2"/>
      <c r="P182" s="2"/>
      <c r="Q182" s="2"/>
      <c r="R182" s="2"/>
      <c r="S182" s="3"/>
      <c r="T182" s="2"/>
      <c r="U182" s="2"/>
      <c r="V182" s="2"/>
      <c r="W182" s="2"/>
      <c r="X182" s="2"/>
      <c r="Y182" s="2"/>
      <c r="Z182" s="2"/>
      <c r="AA182" s="2"/>
      <c r="AB182" s="2"/>
      <c r="AC182" s="2"/>
      <c r="AD182" s="2"/>
      <c r="AE182" s="2"/>
    </row>
    <row r="183" spans="1:31" ht="22.5" customHeight="1" x14ac:dyDescent="0.25">
      <c r="A183" s="8">
        <f t="shared" si="4"/>
        <v>182</v>
      </c>
      <c r="B183" s="24" t="s">
        <v>454</v>
      </c>
      <c r="C183" s="27">
        <v>41540</v>
      </c>
      <c r="D183" s="45">
        <f t="shared" ca="1" si="5"/>
        <v>12</v>
      </c>
      <c r="E183" s="4">
        <v>25</v>
      </c>
      <c r="F183" s="4" t="s">
        <v>25</v>
      </c>
      <c r="G183" s="4" t="s">
        <v>39</v>
      </c>
      <c r="H183" s="4" t="s">
        <v>21</v>
      </c>
      <c r="I183" s="44" t="s">
        <v>620</v>
      </c>
      <c r="J183" s="5" t="s">
        <v>154</v>
      </c>
      <c r="K183" s="36" t="s">
        <v>155</v>
      </c>
      <c r="L183" s="2"/>
      <c r="M183" s="2"/>
      <c r="N183" s="2"/>
      <c r="O183" s="2"/>
      <c r="P183" s="2"/>
      <c r="Q183" s="2"/>
      <c r="R183" s="2"/>
      <c r="S183" s="3"/>
      <c r="T183" s="2"/>
      <c r="U183" s="2"/>
      <c r="V183" s="2"/>
      <c r="W183" s="2"/>
      <c r="X183" s="2"/>
      <c r="Y183" s="2"/>
      <c r="Z183" s="2"/>
      <c r="AA183" s="2"/>
      <c r="AB183" s="2"/>
      <c r="AC183" s="2"/>
      <c r="AD183" s="2"/>
      <c r="AE183" s="2"/>
    </row>
    <row r="184" spans="1:31" ht="22.5" customHeight="1" x14ac:dyDescent="0.25">
      <c r="A184" s="8">
        <f t="shared" si="4"/>
        <v>183</v>
      </c>
      <c r="B184" s="24" t="s">
        <v>419</v>
      </c>
      <c r="C184" s="27">
        <v>41309</v>
      </c>
      <c r="D184" s="45">
        <f t="shared" ca="1" si="5"/>
        <v>13</v>
      </c>
      <c r="E184" s="4">
        <v>34</v>
      </c>
      <c r="F184" s="4" t="s">
        <v>25</v>
      </c>
      <c r="G184" s="4" t="s">
        <v>37</v>
      </c>
      <c r="H184" s="4" t="s">
        <v>21</v>
      </c>
      <c r="I184" s="44" t="s">
        <v>621</v>
      </c>
      <c r="J184" s="5" t="s">
        <v>154</v>
      </c>
      <c r="K184" s="36" t="s">
        <v>155</v>
      </c>
      <c r="L184" s="2"/>
      <c r="M184" s="2"/>
      <c r="N184" s="2"/>
      <c r="O184" s="2"/>
      <c r="P184" s="2"/>
      <c r="Q184" s="2"/>
      <c r="R184" s="2"/>
      <c r="S184" s="3"/>
      <c r="T184" s="2"/>
      <c r="U184" s="2"/>
      <c r="V184" s="2"/>
      <c r="W184" s="2"/>
      <c r="X184" s="2"/>
      <c r="Y184" s="2"/>
      <c r="Z184" s="2"/>
      <c r="AA184" s="2"/>
      <c r="AB184" s="2"/>
      <c r="AC184" s="2"/>
      <c r="AD184" s="2"/>
      <c r="AE184" s="2"/>
    </row>
    <row r="185" spans="1:31" ht="22.5" customHeight="1" x14ac:dyDescent="0.25">
      <c r="A185" s="8">
        <f t="shared" si="4"/>
        <v>184</v>
      </c>
      <c r="B185" s="24" t="s">
        <v>286</v>
      </c>
      <c r="C185" s="27">
        <v>41584</v>
      </c>
      <c r="D185" s="45">
        <f t="shared" ca="1" si="5"/>
        <v>12</v>
      </c>
      <c r="E185" s="4">
        <v>40</v>
      </c>
      <c r="F185" s="4" t="s">
        <v>25</v>
      </c>
      <c r="G185" s="4" t="s">
        <v>32</v>
      </c>
      <c r="H185" s="4" t="s">
        <v>21</v>
      </c>
      <c r="I185" s="44" t="s">
        <v>621</v>
      </c>
      <c r="J185" s="5" t="s">
        <v>154</v>
      </c>
      <c r="K185" s="36" t="s">
        <v>155</v>
      </c>
      <c r="L185" s="2"/>
      <c r="M185" s="2"/>
      <c r="N185" s="2"/>
      <c r="O185" s="2"/>
      <c r="P185" s="2"/>
      <c r="Q185" s="2"/>
      <c r="R185" s="2"/>
      <c r="S185" s="3"/>
      <c r="T185" s="2"/>
      <c r="U185" s="2"/>
      <c r="V185" s="2"/>
      <c r="W185" s="2"/>
      <c r="X185" s="2"/>
      <c r="Y185" s="2"/>
      <c r="Z185" s="2"/>
      <c r="AA185" s="2"/>
      <c r="AB185" s="2"/>
      <c r="AC185" s="2"/>
      <c r="AD185" s="2"/>
      <c r="AE185" s="2"/>
    </row>
    <row r="186" spans="1:31" ht="22.5" customHeight="1" x14ac:dyDescent="0.25">
      <c r="A186" s="8">
        <f t="shared" si="4"/>
        <v>185</v>
      </c>
      <c r="B186" s="24" t="s">
        <v>179</v>
      </c>
      <c r="C186" s="27">
        <v>41303</v>
      </c>
      <c r="D186" s="45">
        <f t="shared" ca="1" si="5"/>
        <v>13</v>
      </c>
      <c r="E186" s="4">
        <v>45</v>
      </c>
      <c r="F186" s="4" t="s">
        <v>25</v>
      </c>
      <c r="G186" s="4" t="s">
        <v>26</v>
      </c>
      <c r="H186" s="4" t="s">
        <v>21</v>
      </c>
      <c r="I186" s="44" t="s">
        <v>620</v>
      </c>
      <c r="J186" s="5" t="s">
        <v>154</v>
      </c>
      <c r="K186" s="36" t="s">
        <v>155</v>
      </c>
      <c r="L186" s="2"/>
      <c r="M186" s="2"/>
      <c r="N186" s="2"/>
      <c r="O186" s="2"/>
      <c r="P186" s="2"/>
      <c r="Q186" s="2"/>
      <c r="R186" s="2"/>
      <c r="S186" s="3"/>
      <c r="T186" s="2"/>
      <c r="U186" s="2"/>
      <c r="V186" s="2"/>
      <c r="W186" s="2"/>
      <c r="X186" s="2"/>
      <c r="Y186" s="2"/>
      <c r="Z186" s="2"/>
      <c r="AA186" s="2"/>
      <c r="AB186" s="2"/>
      <c r="AC186" s="2"/>
      <c r="AD186" s="2"/>
      <c r="AE186" s="2"/>
    </row>
    <row r="187" spans="1:31" ht="22.5" customHeight="1" x14ac:dyDescent="0.25">
      <c r="A187" s="8">
        <f t="shared" si="4"/>
        <v>186</v>
      </c>
      <c r="B187" s="24" t="s">
        <v>181</v>
      </c>
      <c r="C187" s="27">
        <v>41492</v>
      </c>
      <c r="D187" s="45">
        <f t="shared" ca="1" si="5"/>
        <v>12</v>
      </c>
      <c r="E187" s="4">
        <v>57</v>
      </c>
      <c r="F187" s="4" t="s">
        <v>25</v>
      </c>
      <c r="G187" s="4" t="s">
        <v>50</v>
      </c>
      <c r="H187" s="4" t="s">
        <v>21</v>
      </c>
      <c r="I187" s="44" t="s">
        <v>622</v>
      </c>
      <c r="J187" s="5" t="s">
        <v>154</v>
      </c>
      <c r="K187" s="36" t="s">
        <v>155</v>
      </c>
      <c r="L187" s="2"/>
      <c r="M187" s="2"/>
      <c r="N187" s="2"/>
      <c r="O187" s="2"/>
      <c r="P187" s="2"/>
      <c r="Q187" s="2"/>
      <c r="R187" s="2"/>
      <c r="S187" s="3"/>
      <c r="T187" s="2"/>
      <c r="U187" s="2"/>
      <c r="V187" s="2"/>
      <c r="W187" s="2"/>
      <c r="X187" s="2"/>
      <c r="Y187" s="2"/>
      <c r="Z187" s="2"/>
      <c r="AA187" s="2"/>
      <c r="AB187" s="2"/>
      <c r="AC187" s="2"/>
      <c r="AD187" s="2"/>
      <c r="AE187" s="2"/>
    </row>
    <row r="188" spans="1:31" ht="22.5" customHeight="1" x14ac:dyDescent="0.25">
      <c r="A188" s="8">
        <f t="shared" si="4"/>
        <v>187</v>
      </c>
      <c r="B188" s="24" t="s">
        <v>327</v>
      </c>
      <c r="C188" s="27">
        <v>41619</v>
      </c>
      <c r="D188" s="45">
        <f t="shared" ca="1" si="5"/>
        <v>12</v>
      </c>
      <c r="E188" s="4">
        <v>30</v>
      </c>
      <c r="F188" s="4" t="s">
        <v>19</v>
      </c>
      <c r="G188" s="4" t="s">
        <v>34</v>
      </c>
      <c r="H188" s="4" t="s">
        <v>21</v>
      </c>
      <c r="I188" s="44" t="s">
        <v>621</v>
      </c>
      <c r="J188" s="5" t="s">
        <v>154</v>
      </c>
      <c r="K188" s="36" t="s">
        <v>155</v>
      </c>
      <c r="L188" s="2"/>
      <c r="M188" s="2"/>
      <c r="N188" s="2"/>
      <c r="O188" s="2"/>
      <c r="P188" s="2"/>
      <c r="Q188" s="2"/>
      <c r="R188" s="2"/>
      <c r="S188" s="3"/>
      <c r="T188" s="2"/>
      <c r="U188" s="2"/>
      <c r="V188" s="2"/>
      <c r="W188" s="2"/>
      <c r="X188" s="2"/>
      <c r="Y188" s="2"/>
      <c r="Z188" s="2"/>
      <c r="AA188" s="2"/>
      <c r="AB188" s="2"/>
      <c r="AC188" s="2"/>
      <c r="AD188" s="2"/>
      <c r="AE188" s="2"/>
    </row>
    <row r="189" spans="1:31" ht="22.5" customHeight="1" x14ac:dyDescent="0.25">
      <c r="A189" s="8">
        <f t="shared" si="4"/>
        <v>188</v>
      </c>
      <c r="B189" s="24" t="s">
        <v>223</v>
      </c>
      <c r="C189" s="27">
        <v>41562</v>
      </c>
      <c r="D189" s="45">
        <f t="shared" ca="1" si="5"/>
        <v>12</v>
      </c>
      <c r="E189" s="4">
        <v>35</v>
      </c>
      <c r="F189" s="4" t="s">
        <v>19</v>
      </c>
      <c r="G189" s="4" t="s">
        <v>37</v>
      </c>
      <c r="H189" s="4" t="s">
        <v>21</v>
      </c>
      <c r="I189" s="44" t="s">
        <v>622</v>
      </c>
      <c r="J189" s="5" t="s">
        <v>154</v>
      </c>
      <c r="K189" s="36" t="s">
        <v>155</v>
      </c>
      <c r="L189" s="2"/>
      <c r="M189" s="2"/>
      <c r="N189" s="2"/>
      <c r="O189" s="2"/>
      <c r="P189" s="2"/>
      <c r="Q189" s="2"/>
      <c r="R189" s="2"/>
      <c r="S189" s="3"/>
      <c r="T189" s="2"/>
      <c r="U189" s="2"/>
      <c r="V189" s="2"/>
      <c r="W189" s="2"/>
      <c r="X189" s="2"/>
      <c r="Y189" s="2"/>
      <c r="Z189" s="2"/>
      <c r="AA189" s="2"/>
      <c r="AB189" s="2"/>
      <c r="AC189" s="2"/>
      <c r="AD189" s="2"/>
      <c r="AE189" s="2"/>
    </row>
    <row r="190" spans="1:31" ht="22.5" customHeight="1" x14ac:dyDescent="0.25">
      <c r="A190" s="8">
        <f t="shared" si="4"/>
        <v>189</v>
      </c>
      <c r="B190" s="24" t="s">
        <v>329</v>
      </c>
      <c r="C190" s="27">
        <v>41337</v>
      </c>
      <c r="D190" s="45">
        <f t="shared" ca="1" si="5"/>
        <v>13</v>
      </c>
      <c r="E190" s="4">
        <v>40</v>
      </c>
      <c r="F190" s="4" t="s">
        <v>19</v>
      </c>
      <c r="G190" s="4" t="s">
        <v>34</v>
      </c>
      <c r="H190" s="4" t="s">
        <v>21</v>
      </c>
      <c r="I190" s="44" t="s">
        <v>622</v>
      </c>
      <c r="J190" s="5" t="s">
        <v>154</v>
      </c>
      <c r="K190" s="36" t="s">
        <v>155</v>
      </c>
      <c r="L190" s="2"/>
      <c r="M190" s="2"/>
      <c r="N190" s="2"/>
      <c r="O190" s="2"/>
      <c r="P190" s="2"/>
      <c r="Q190" s="2"/>
      <c r="R190" s="2"/>
      <c r="S190" s="3"/>
      <c r="T190" s="2"/>
      <c r="U190" s="2"/>
      <c r="V190" s="2"/>
      <c r="W190" s="2"/>
      <c r="X190" s="2"/>
      <c r="Y190" s="2"/>
      <c r="Z190" s="2"/>
      <c r="AA190" s="2"/>
      <c r="AB190" s="2"/>
      <c r="AC190" s="2"/>
      <c r="AD190" s="2"/>
      <c r="AE190" s="2"/>
    </row>
    <row r="191" spans="1:31" ht="22.5" customHeight="1" x14ac:dyDescent="0.25">
      <c r="A191" s="8">
        <f t="shared" si="4"/>
        <v>190</v>
      </c>
      <c r="B191" s="24" t="s">
        <v>175</v>
      </c>
      <c r="C191" s="27">
        <v>41626</v>
      </c>
      <c r="D191" s="45">
        <f t="shared" ca="1" si="5"/>
        <v>12</v>
      </c>
      <c r="E191" s="4">
        <v>46</v>
      </c>
      <c r="F191" s="4" t="s">
        <v>19</v>
      </c>
      <c r="G191" s="4" t="s">
        <v>39</v>
      </c>
      <c r="H191" s="4" t="s">
        <v>21</v>
      </c>
      <c r="I191" s="44" t="s">
        <v>620</v>
      </c>
      <c r="J191" s="5" t="s">
        <v>154</v>
      </c>
      <c r="K191" s="36" t="s">
        <v>155</v>
      </c>
      <c r="L191" s="2"/>
      <c r="M191" s="2"/>
      <c r="N191" s="2"/>
      <c r="O191" s="2"/>
      <c r="P191" s="2"/>
      <c r="Q191" s="2"/>
      <c r="R191" s="2"/>
      <c r="S191" s="3"/>
      <c r="T191" s="2"/>
      <c r="U191" s="2"/>
      <c r="V191" s="2"/>
      <c r="W191" s="2"/>
      <c r="X191" s="2"/>
      <c r="Y191" s="2"/>
      <c r="Z191" s="2"/>
      <c r="AA191" s="2"/>
      <c r="AB191" s="2"/>
      <c r="AC191" s="2"/>
      <c r="AD191" s="2"/>
      <c r="AE191" s="2"/>
    </row>
    <row r="192" spans="1:31" ht="22.5" customHeight="1" x14ac:dyDescent="0.25">
      <c r="A192" s="8">
        <f t="shared" si="4"/>
        <v>191</v>
      </c>
      <c r="B192" s="24" t="s">
        <v>322</v>
      </c>
      <c r="C192" s="27">
        <v>41513</v>
      </c>
      <c r="D192" s="45">
        <f t="shared" ca="1" si="5"/>
        <v>12</v>
      </c>
      <c r="E192" s="4">
        <v>47</v>
      </c>
      <c r="F192" s="4" t="s">
        <v>19</v>
      </c>
      <c r="G192" s="4" t="s">
        <v>37</v>
      </c>
      <c r="H192" s="4" t="s">
        <v>21</v>
      </c>
      <c r="I192" s="44" t="s">
        <v>620</v>
      </c>
      <c r="J192" s="5" t="s">
        <v>154</v>
      </c>
      <c r="K192" s="36" t="s">
        <v>155</v>
      </c>
      <c r="L192" s="2"/>
      <c r="M192" s="2"/>
      <c r="N192" s="2"/>
      <c r="O192" s="2"/>
      <c r="P192" s="2"/>
      <c r="Q192" s="2"/>
      <c r="R192" s="2"/>
      <c r="S192" s="3"/>
      <c r="T192" s="2"/>
      <c r="U192" s="2"/>
      <c r="V192" s="2"/>
      <c r="W192" s="2"/>
      <c r="X192" s="2"/>
      <c r="Y192" s="2"/>
      <c r="Z192" s="2"/>
      <c r="AA192" s="2"/>
      <c r="AB192" s="2"/>
      <c r="AC192" s="2"/>
      <c r="AD192" s="2"/>
      <c r="AE192" s="2"/>
    </row>
    <row r="193" spans="1:31" ht="22.5" customHeight="1" x14ac:dyDescent="0.25">
      <c r="A193" s="8">
        <f t="shared" si="4"/>
        <v>192</v>
      </c>
      <c r="B193" s="24" t="s">
        <v>562</v>
      </c>
      <c r="C193" s="29">
        <v>40947</v>
      </c>
      <c r="D193" s="45">
        <f t="shared" ca="1" si="5"/>
        <v>14</v>
      </c>
      <c r="E193" s="16">
        <v>48</v>
      </c>
      <c r="F193" s="16" t="s">
        <v>25</v>
      </c>
      <c r="G193" s="16" t="s">
        <v>61</v>
      </c>
      <c r="H193" s="16" t="s">
        <v>21</v>
      </c>
      <c r="I193" s="44" t="s">
        <v>621</v>
      </c>
      <c r="J193" s="17" t="s">
        <v>154</v>
      </c>
      <c r="K193" s="39" t="s">
        <v>155</v>
      </c>
      <c r="L193" s="2"/>
      <c r="M193" s="2"/>
      <c r="N193" s="2"/>
      <c r="O193" s="2"/>
      <c r="P193" s="2"/>
      <c r="Q193" s="2"/>
      <c r="R193" s="2"/>
      <c r="S193" s="3"/>
      <c r="T193" s="2"/>
      <c r="U193" s="2"/>
      <c r="V193" s="2"/>
      <c r="W193" s="2"/>
      <c r="X193" s="2"/>
      <c r="Y193" s="2"/>
      <c r="Z193" s="2"/>
      <c r="AA193" s="2"/>
      <c r="AB193" s="2"/>
      <c r="AC193" s="2"/>
      <c r="AD193" s="2"/>
      <c r="AE193" s="2"/>
    </row>
    <row r="194" spans="1:31" ht="22.5" customHeight="1" x14ac:dyDescent="0.25">
      <c r="A194" s="8">
        <f t="shared" si="4"/>
        <v>193</v>
      </c>
      <c r="B194" s="24" t="s">
        <v>379</v>
      </c>
      <c r="C194" s="27">
        <v>41057</v>
      </c>
      <c r="D194" s="45">
        <f t="shared" ca="1" si="5"/>
        <v>13</v>
      </c>
      <c r="E194" s="4">
        <v>54</v>
      </c>
      <c r="F194" s="4" t="s">
        <v>25</v>
      </c>
      <c r="G194" s="4" t="s">
        <v>39</v>
      </c>
      <c r="H194" s="4" t="s">
        <v>21</v>
      </c>
      <c r="I194" s="44" t="s">
        <v>621</v>
      </c>
      <c r="J194" s="5" t="s">
        <v>154</v>
      </c>
      <c r="K194" s="36" t="s">
        <v>155</v>
      </c>
      <c r="L194" s="2"/>
      <c r="M194" s="2"/>
      <c r="N194" s="2"/>
      <c r="O194" s="2"/>
      <c r="P194" s="2"/>
      <c r="Q194" s="2"/>
      <c r="R194" s="2"/>
      <c r="S194" s="3"/>
      <c r="T194" s="2"/>
      <c r="U194" s="2"/>
      <c r="V194" s="2"/>
      <c r="W194" s="2"/>
      <c r="X194" s="2"/>
      <c r="Y194" s="2"/>
      <c r="Z194" s="2"/>
      <c r="AA194" s="2"/>
      <c r="AB194" s="2"/>
      <c r="AC194" s="2"/>
      <c r="AD194" s="2"/>
      <c r="AE194" s="2"/>
    </row>
    <row r="195" spans="1:31" ht="22.5" customHeight="1" x14ac:dyDescent="0.25">
      <c r="A195" s="8">
        <f t="shared" ref="A195:A258" si="6">A194+1</f>
        <v>194</v>
      </c>
      <c r="B195" s="24" t="s">
        <v>323</v>
      </c>
      <c r="C195" s="27">
        <v>41192</v>
      </c>
      <c r="D195" s="45">
        <f t="shared" ref="D195:D258" ca="1" si="7">DATEDIF(C195, TODAY(), "Y")</f>
        <v>13</v>
      </c>
      <c r="E195" s="4">
        <v>56</v>
      </c>
      <c r="F195" s="4" t="s">
        <v>25</v>
      </c>
      <c r="G195" s="4" t="s">
        <v>32</v>
      </c>
      <c r="H195" s="4" t="s">
        <v>21</v>
      </c>
      <c r="I195" s="44" t="s">
        <v>620</v>
      </c>
      <c r="J195" s="5" t="s">
        <v>154</v>
      </c>
      <c r="K195" s="36" t="s">
        <v>155</v>
      </c>
      <c r="L195" s="2"/>
      <c r="M195" s="2"/>
      <c r="N195" s="2"/>
      <c r="O195" s="2"/>
      <c r="P195" s="2"/>
      <c r="Q195" s="2"/>
      <c r="R195" s="2"/>
      <c r="S195" s="3"/>
      <c r="T195" s="2"/>
      <c r="U195" s="2"/>
      <c r="V195" s="2"/>
      <c r="W195" s="2"/>
      <c r="X195" s="2"/>
      <c r="Y195" s="2"/>
      <c r="Z195" s="2"/>
      <c r="AA195" s="2"/>
      <c r="AB195" s="2"/>
      <c r="AC195" s="2"/>
      <c r="AD195" s="2"/>
      <c r="AE195" s="2"/>
    </row>
    <row r="196" spans="1:31" ht="22.5" customHeight="1" x14ac:dyDescent="0.25">
      <c r="A196" s="8">
        <f t="shared" si="6"/>
        <v>195</v>
      </c>
      <c r="B196" s="24" t="s">
        <v>414</v>
      </c>
      <c r="C196" s="27">
        <v>41221</v>
      </c>
      <c r="D196" s="45">
        <f t="shared" ca="1" si="7"/>
        <v>13</v>
      </c>
      <c r="E196" s="4">
        <v>40</v>
      </c>
      <c r="F196" s="4" t="s">
        <v>19</v>
      </c>
      <c r="G196" s="4" t="s">
        <v>34</v>
      </c>
      <c r="H196" s="4" t="s">
        <v>21</v>
      </c>
      <c r="I196" s="44" t="s">
        <v>622</v>
      </c>
      <c r="J196" s="5" t="s">
        <v>154</v>
      </c>
      <c r="K196" s="36" t="s">
        <v>155</v>
      </c>
      <c r="L196" s="2"/>
      <c r="M196" s="2"/>
      <c r="N196" s="2"/>
      <c r="O196" s="2"/>
      <c r="P196" s="2"/>
      <c r="Q196" s="2"/>
      <c r="R196" s="2"/>
      <c r="S196" s="3"/>
      <c r="T196" s="2"/>
      <c r="U196" s="2"/>
      <c r="V196" s="2"/>
      <c r="W196" s="2"/>
      <c r="X196" s="2"/>
      <c r="Y196" s="2"/>
      <c r="Z196" s="2"/>
      <c r="AA196" s="2"/>
      <c r="AB196" s="2"/>
      <c r="AC196" s="2"/>
      <c r="AD196" s="2"/>
      <c r="AE196" s="2"/>
    </row>
    <row r="197" spans="1:31" ht="22.5" customHeight="1" x14ac:dyDescent="0.25">
      <c r="A197" s="8">
        <f t="shared" si="6"/>
        <v>196</v>
      </c>
      <c r="B197" s="24" t="s">
        <v>410</v>
      </c>
      <c r="C197" s="27">
        <v>41242</v>
      </c>
      <c r="D197" s="45">
        <f t="shared" ca="1" si="7"/>
        <v>13</v>
      </c>
      <c r="E197" s="4">
        <v>56</v>
      </c>
      <c r="F197" s="4" t="s">
        <v>19</v>
      </c>
      <c r="G197" s="4" t="s">
        <v>34</v>
      </c>
      <c r="H197" s="4" t="s">
        <v>21</v>
      </c>
      <c r="I197" s="44" t="s">
        <v>621</v>
      </c>
      <c r="J197" s="5" t="s">
        <v>154</v>
      </c>
      <c r="K197" s="36" t="s">
        <v>155</v>
      </c>
      <c r="L197" s="2"/>
      <c r="M197" s="2"/>
      <c r="N197" s="2"/>
      <c r="O197" s="2"/>
      <c r="P197" s="2"/>
      <c r="Q197" s="2"/>
      <c r="R197" s="2"/>
      <c r="S197" s="3"/>
      <c r="T197" s="2"/>
      <c r="U197" s="2"/>
      <c r="V197" s="2"/>
      <c r="W197" s="2"/>
      <c r="X197" s="2"/>
      <c r="Y197" s="2"/>
      <c r="Z197" s="2"/>
      <c r="AA197" s="2"/>
      <c r="AB197" s="2"/>
      <c r="AC197" s="2"/>
      <c r="AD197" s="2"/>
      <c r="AE197" s="2"/>
    </row>
    <row r="198" spans="1:31" ht="22.5" customHeight="1" x14ac:dyDescent="0.25">
      <c r="A198" s="8">
        <f t="shared" si="6"/>
        <v>197</v>
      </c>
      <c r="B198" s="24" t="s">
        <v>512</v>
      </c>
      <c r="C198" s="27">
        <v>40385</v>
      </c>
      <c r="D198" s="45">
        <f t="shared" ca="1" si="7"/>
        <v>15</v>
      </c>
      <c r="E198" s="4">
        <v>45</v>
      </c>
      <c r="F198" s="4" t="s">
        <v>25</v>
      </c>
      <c r="G198" s="4" t="s">
        <v>42</v>
      </c>
      <c r="H198" s="4" t="s">
        <v>21</v>
      </c>
      <c r="I198" s="44" t="s">
        <v>622</v>
      </c>
      <c r="J198" s="5" t="s">
        <v>154</v>
      </c>
      <c r="K198" s="36" t="s">
        <v>155</v>
      </c>
      <c r="L198" s="2"/>
      <c r="M198" s="2"/>
      <c r="N198" s="2"/>
      <c r="O198" s="2"/>
      <c r="P198" s="2"/>
      <c r="Q198" s="2"/>
      <c r="R198" s="2"/>
      <c r="S198" s="3"/>
      <c r="T198" s="2"/>
      <c r="U198" s="2"/>
      <c r="V198" s="2"/>
      <c r="W198" s="2"/>
      <c r="X198" s="2"/>
      <c r="Y198" s="2"/>
      <c r="Z198" s="2"/>
      <c r="AA198" s="2"/>
      <c r="AB198" s="2"/>
      <c r="AC198" s="2"/>
      <c r="AD198" s="2"/>
      <c r="AE198" s="2"/>
    </row>
    <row r="199" spans="1:31" ht="22.5" customHeight="1" x14ac:dyDescent="0.25">
      <c r="A199" s="8">
        <f t="shared" si="6"/>
        <v>198</v>
      </c>
      <c r="B199" s="24" t="s">
        <v>515</v>
      </c>
      <c r="C199" s="27">
        <v>40525</v>
      </c>
      <c r="D199" s="45">
        <f t="shared" ca="1" si="7"/>
        <v>15</v>
      </c>
      <c r="E199" s="4">
        <v>48</v>
      </c>
      <c r="F199" s="4" t="s">
        <v>25</v>
      </c>
      <c r="G199" s="4" t="s">
        <v>26</v>
      </c>
      <c r="H199" s="4" t="s">
        <v>21</v>
      </c>
      <c r="I199" s="44" t="s">
        <v>622</v>
      </c>
      <c r="J199" s="5" t="s">
        <v>154</v>
      </c>
      <c r="K199" s="36" t="s">
        <v>155</v>
      </c>
      <c r="L199" s="2"/>
      <c r="M199" s="2"/>
      <c r="N199" s="2"/>
      <c r="O199" s="2"/>
      <c r="P199" s="2"/>
      <c r="Q199" s="2"/>
      <c r="R199" s="2"/>
      <c r="S199" s="3"/>
      <c r="T199" s="2"/>
      <c r="U199" s="2"/>
      <c r="V199" s="2"/>
      <c r="W199" s="2"/>
      <c r="X199" s="2"/>
      <c r="Y199" s="2"/>
      <c r="Z199" s="2"/>
      <c r="AA199" s="2"/>
      <c r="AB199" s="2"/>
      <c r="AC199" s="2"/>
      <c r="AD199" s="2"/>
      <c r="AE199" s="2"/>
    </row>
    <row r="200" spans="1:31" ht="22.5" customHeight="1" x14ac:dyDescent="0.25">
      <c r="A200" s="8">
        <f t="shared" si="6"/>
        <v>199</v>
      </c>
      <c r="B200" s="24" t="s">
        <v>563</v>
      </c>
      <c r="C200" s="29">
        <v>40705</v>
      </c>
      <c r="D200" s="45">
        <f t="shared" ca="1" si="7"/>
        <v>14</v>
      </c>
      <c r="E200" s="16">
        <v>52</v>
      </c>
      <c r="F200" s="16" t="s">
        <v>25</v>
      </c>
      <c r="G200" s="16" t="s">
        <v>39</v>
      </c>
      <c r="H200" s="16" t="s">
        <v>21</v>
      </c>
      <c r="I200" s="44" t="s">
        <v>620</v>
      </c>
      <c r="J200" s="17" t="s">
        <v>154</v>
      </c>
      <c r="K200" s="39" t="s">
        <v>155</v>
      </c>
      <c r="L200" s="2"/>
      <c r="M200" s="2"/>
      <c r="N200" s="2"/>
      <c r="O200" s="2"/>
      <c r="P200" s="2"/>
      <c r="Q200" s="2"/>
      <c r="R200" s="2"/>
      <c r="S200" s="3"/>
      <c r="T200" s="2"/>
      <c r="U200" s="2"/>
      <c r="V200" s="2"/>
      <c r="W200" s="2"/>
      <c r="X200" s="2"/>
      <c r="Y200" s="2"/>
      <c r="Z200" s="2"/>
      <c r="AA200" s="2"/>
      <c r="AB200" s="2"/>
      <c r="AC200" s="2"/>
      <c r="AD200" s="2"/>
      <c r="AE200" s="2"/>
    </row>
    <row r="201" spans="1:31" ht="22.5" customHeight="1" x14ac:dyDescent="0.25">
      <c r="A201" s="8">
        <f t="shared" si="6"/>
        <v>200</v>
      </c>
      <c r="B201" s="24" t="s">
        <v>365</v>
      </c>
      <c r="C201" s="27">
        <v>40515</v>
      </c>
      <c r="D201" s="45">
        <f t="shared" ca="1" si="7"/>
        <v>15</v>
      </c>
      <c r="E201" s="4">
        <v>52</v>
      </c>
      <c r="F201" s="4" t="s">
        <v>25</v>
      </c>
      <c r="G201" s="4" t="s">
        <v>50</v>
      </c>
      <c r="H201" s="4" t="s">
        <v>21</v>
      </c>
      <c r="I201" s="44" t="s">
        <v>620</v>
      </c>
      <c r="J201" s="5" t="s">
        <v>154</v>
      </c>
      <c r="K201" s="36" t="s">
        <v>155</v>
      </c>
      <c r="L201" s="2"/>
      <c r="M201" s="2"/>
      <c r="N201" s="2"/>
      <c r="O201" s="2"/>
      <c r="P201" s="2"/>
      <c r="Q201" s="2"/>
      <c r="R201" s="2"/>
      <c r="S201" s="3"/>
      <c r="T201" s="2"/>
      <c r="U201" s="2"/>
      <c r="V201" s="2"/>
      <c r="W201" s="2"/>
      <c r="X201" s="2"/>
      <c r="Y201" s="2"/>
      <c r="Z201" s="2"/>
      <c r="AA201" s="2"/>
      <c r="AB201" s="2"/>
      <c r="AC201" s="2"/>
      <c r="AD201" s="2"/>
      <c r="AE201" s="2"/>
    </row>
    <row r="202" spans="1:31" ht="22.5" customHeight="1" x14ac:dyDescent="0.25">
      <c r="A202" s="8">
        <f t="shared" si="6"/>
        <v>201</v>
      </c>
      <c r="B202" s="24" t="s">
        <v>412</v>
      </c>
      <c r="C202" s="27">
        <v>40701</v>
      </c>
      <c r="D202" s="45">
        <f t="shared" ca="1" si="7"/>
        <v>14</v>
      </c>
      <c r="E202" s="4">
        <v>63</v>
      </c>
      <c r="F202" s="4" t="s">
        <v>25</v>
      </c>
      <c r="G202" s="4" t="s">
        <v>34</v>
      </c>
      <c r="H202" s="4" t="s">
        <v>21</v>
      </c>
      <c r="I202" s="44" t="s">
        <v>621</v>
      </c>
      <c r="J202" s="5" t="s">
        <v>154</v>
      </c>
      <c r="K202" s="36" t="s">
        <v>155</v>
      </c>
      <c r="L202" s="2"/>
      <c r="M202" s="2"/>
      <c r="N202" s="2"/>
      <c r="O202" s="2"/>
      <c r="P202" s="2"/>
      <c r="Q202" s="2"/>
      <c r="R202" s="2"/>
      <c r="S202" s="3"/>
      <c r="T202" s="2"/>
      <c r="U202" s="2"/>
      <c r="V202" s="2"/>
      <c r="W202" s="2"/>
      <c r="X202" s="2"/>
      <c r="Y202" s="2"/>
      <c r="Z202" s="2"/>
      <c r="AA202" s="2"/>
      <c r="AB202" s="2"/>
      <c r="AC202" s="2"/>
      <c r="AD202" s="2"/>
      <c r="AE202" s="2"/>
    </row>
    <row r="203" spans="1:31" ht="22.5" customHeight="1" x14ac:dyDescent="0.25">
      <c r="A203" s="8">
        <f t="shared" si="6"/>
        <v>202</v>
      </c>
      <c r="B203" s="24" t="s">
        <v>330</v>
      </c>
      <c r="C203" s="27">
        <v>40706</v>
      </c>
      <c r="D203" s="45">
        <f t="shared" ca="1" si="7"/>
        <v>14</v>
      </c>
      <c r="E203" s="4">
        <v>67</v>
      </c>
      <c r="F203" s="4" t="s">
        <v>25</v>
      </c>
      <c r="G203" s="4" t="s">
        <v>34</v>
      </c>
      <c r="H203" s="4" t="s">
        <v>21</v>
      </c>
      <c r="I203" s="44" t="s">
        <v>621</v>
      </c>
      <c r="J203" s="5" t="s">
        <v>154</v>
      </c>
      <c r="K203" s="36" t="s">
        <v>155</v>
      </c>
      <c r="L203" s="2"/>
      <c r="M203" s="2"/>
      <c r="N203" s="2"/>
      <c r="O203" s="2"/>
      <c r="P203" s="2"/>
      <c r="Q203" s="2"/>
      <c r="R203" s="2"/>
      <c r="S203" s="3"/>
      <c r="T203" s="2"/>
      <c r="U203" s="2"/>
      <c r="V203" s="2"/>
      <c r="W203" s="2"/>
      <c r="X203" s="2"/>
      <c r="Y203" s="2"/>
      <c r="Z203" s="2"/>
      <c r="AA203" s="2"/>
      <c r="AB203" s="2"/>
      <c r="AC203" s="2"/>
      <c r="AD203" s="2"/>
      <c r="AE203" s="2"/>
    </row>
    <row r="204" spans="1:31" ht="22.5" customHeight="1" x14ac:dyDescent="0.25">
      <c r="A204" s="8">
        <f t="shared" si="6"/>
        <v>203</v>
      </c>
      <c r="B204" s="24" t="s">
        <v>178</v>
      </c>
      <c r="C204" s="27">
        <v>40512</v>
      </c>
      <c r="D204" s="45">
        <f t="shared" ca="1" si="7"/>
        <v>15</v>
      </c>
      <c r="E204" s="4">
        <v>39</v>
      </c>
      <c r="F204" s="4" t="s">
        <v>19</v>
      </c>
      <c r="G204" s="4" t="s">
        <v>61</v>
      </c>
      <c r="H204" s="4" t="s">
        <v>21</v>
      </c>
      <c r="I204" s="44" t="s">
        <v>620</v>
      </c>
      <c r="J204" s="5" t="s">
        <v>154</v>
      </c>
      <c r="K204" s="36" t="s">
        <v>155</v>
      </c>
      <c r="L204" s="2"/>
      <c r="M204" s="2"/>
      <c r="N204" s="2"/>
      <c r="O204" s="2"/>
      <c r="P204" s="2"/>
      <c r="Q204" s="2"/>
      <c r="R204" s="2"/>
      <c r="S204" s="3"/>
      <c r="T204" s="2"/>
      <c r="U204" s="2"/>
      <c r="V204" s="2"/>
      <c r="W204" s="2"/>
      <c r="X204" s="2"/>
      <c r="Y204" s="2"/>
      <c r="Z204" s="2"/>
      <c r="AA204" s="2"/>
      <c r="AB204" s="2"/>
      <c r="AC204" s="2"/>
      <c r="AD204" s="2"/>
      <c r="AE204" s="2"/>
    </row>
    <row r="205" spans="1:31" ht="22.5" customHeight="1" x14ac:dyDescent="0.25">
      <c r="A205" s="8">
        <f t="shared" si="6"/>
        <v>204</v>
      </c>
      <c r="B205" s="24" t="s">
        <v>452</v>
      </c>
      <c r="C205" s="27">
        <v>40440</v>
      </c>
      <c r="D205" s="45">
        <f t="shared" ca="1" si="7"/>
        <v>15</v>
      </c>
      <c r="E205" s="4">
        <v>42</v>
      </c>
      <c r="F205" s="4" t="s">
        <v>19</v>
      </c>
      <c r="G205" s="4" t="s">
        <v>42</v>
      </c>
      <c r="H205" s="4" t="s">
        <v>21</v>
      </c>
      <c r="I205" s="44" t="s">
        <v>622</v>
      </c>
      <c r="J205" s="5" t="s">
        <v>154</v>
      </c>
      <c r="K205" s="36" t="s">
        <v>155</v>
      </c>
      <c r="L205" s="2"/>
      <c r="M205" s="2"/>
      <c r="N205" s="2"/>
      <c r="O205" s="2"/>
      <c r="P205" s="2"/>
      <c r="Q205" s="2"/>
      <c r="R205" s="2"/>
      <c r="S205" s="3"/>
      <c r="T205" s="2"/>
      <c r="U205" s="2"/>
      <c r="V205" s="2"/>
      <c r="W205" s="2"/>
      <c r="X205" s="2"/>
      <c r="Y205" s="2"/>
      <c r="Z205" s="2"/>
      <c r="AA205" s="2"/>
      <c r="AB205" s="2"/>
      <c r="AC205" s="2"/>
      <c r="AD205" s="2"/>
      <c r="AE205" s="2"/>
    </row>
    <row r="206" spans="1:31" ht="22.5" customHeight="1" x14ac:dyDescent="0.25">
      <c r="A206" s="8">
        <f t="shared" si="6"/>
        <v>205</v>
      </c>
      <c r="B206" s="24" t="s">
        <v>516</v>
      </c>
      <c r="C206" s="27">
        <v>40525</v>
      </c>
      <c r="D206" s="45">
        <f t="shared" ca="1" si="7"/>
        <v>15</v>
      </c>
      <c r="E206" s="4">
        <v>43</v>
      </c>
      <c r="F206" s="4" t="s">
        <v>19</v>
      </c>
      <c r="G206" s="4" t="s">
        <v>26</v>
      </c>
      <c r="H206" s="4" t="s">
        <v>21</v>
      </c>
      <c r="I206" s="44" t="s">
        <v>621</v>
      </c>
      <c r="J206" s="5" t="s">
        <v>154</v>
      </c>
      <c r="K206" s="36" t="s">
        <v>155</v>
      </c>
      <c r="L206" s="2"/>
      <c r="M206" s="2"/>
      <c r="N206" s="2"/>
      <c r="O206" s="2"/>
      <c r="P206" s="2"/>
      <c r="Q206" s="2"/>
      <c r="R206" s="2"/>
      <c r="S206" s="3"/>
      <c r="T206" s="2"/>
      <c r="U206" s="2"/>
      <c r="V206" s="2"/>
      <c r="W206" s="2"/>
      <c r="X206" s="2"/>
      <c r="Y206" s="2"/>
      <c r="Z206" s="2"/>
      <c r="AA206" s="2"/>
      <c r="AB206" s="2"/>
      <c r="AC206" s="2"/>
      <c r="AD206" s="2"/>
      <c r="AE206" s="2"/>
    </row>
    <row r="207" spans="1:31" ht="22.5" customHeight="1" x14ac:dyDescent="0.25">
      <c r="A207" s="8">
        <f t="shared" si="6"/>
        <v>206</v>
      </c>
      <c r="B207" s="24" t="s">
        <v>491</v>
      </c>
      <c r="C207" s="27">
        <v>40700</v>
      </c>
      <c r="D207" s="45">
        <f t="shared" ca="1" si="7"/>
        <v>14</v>
      </c>
      <c r="E207" s="4">
        <v>45</v>
      </c>
      <c r="F207" s="4" t="s">
        <v>19</v>
      </c>
      <c r="G207" s="4" t="s">
        <v>20</v>
      </c>
      <c r="H207" s="4" t="s">
        <v>21</v>
      </c>
      <c r="I207" s="44" t="s">
        <v>622</v>
      </c>
      <c r="J207" s="5" t="s">
        <v>154</v>
      </c>
      <c r="K207" s="36" t="s">
        <v>155</v>
      </c>
      <c r="L207" s="2"/>
      <c r="M207" s="2"/>
      <c r="N207" s="2"/>
      <c r="O207" s="2"/>
      <c r="P207" s="2"/>
      <c r="Q207" s="2"/>
      <c r="R207" s="2"/>
      <c r="S207" s="3"/>
      <c r="T207" s="2"/>
      <c r="U207" s="2"/>
      <c r="V207" s="2"/>
      <c r="W207" s="2"/>
      <c r="X207" s="2"/>
      <c r="Y207" s="2"/>
      <c r="Z207" s="2"/>
      <c r="AA207" s="2"/>
      <c r="AB207" s="2"/>
      <c r="AC207" s="2"/>
      <c r="AD207" s="2"/>
      <c r="AE207" s="2"/>
    </row>
    <row r="208" spans="1:31" ht="22.5" customHeight="1" x14ac:dyDescent="0.25">
      <c r="A208" s="8">
        <f t="shared" si="6"/>
        <v>207</v>
      </c>
      <c r="B208" s="24" t="s">
        <v>520</v>
      </c>
      <c r="C208" s="27">
        <v>40359</v>
      </c>
      <c r="D208" s="45">
        <f t="shared" ca="1" si="7"/>
        <v>15</v>
      </c>
      <c r="E208" s="4">
        <v>50</v>
      </c>
      <c r="F208" s="4" t="s">
        <v>19</v>
      </c>
      <c r="G208" s="4" t="s">
        <v>37</v>
      </c>
      <c r="H208" s="4" t="s">
        <v>21</v>
      </c>
      <c r="I208" s="44" t="s">
        <v>622</v>
      </c>
      <c r="J208" s="5" t="s">
        <v>154</v>
      </c>
      <c r="K208" s="36" t="s">
        <v>155</v>
      </c>
      <c r="L208" s="2"/>
      <c r="M208" s="2"/>
      <c r="N208" s="2"/>
      <c r="O208" s="2"/>
      <c r="P208" s="2"/>
      <c r="Q208" s="2"/>
      <c r="R208" s="2"/>
      <c r="S208" s="3"/>
      <c r="T208" s="2"/>
      <c r="U208" s="2"/>
      <c r="V208" s="2"/>
      <c r="W208" s="2"/>
      <c r="X208" s="2"/>
      <c r="Y208" s="2"/>
      <c r="Z208" s="2"/>
      <c r="AA208" s="2"/>
      <c r="AB208" s="2"/>
      <c r="AC208" s="2"/>
      <c r="AD208" s="2"/>
      <c r="AE208" s="2"/>
    </row>
    <row r="209" spans="1:31" ht="22.5" customHeight="1" x14ac:dyDescent="0.25">
      <c r="A209" s="8">
        <f t="shared" si="6"/>
        <v>208</v>
      </c>
      <c r="B209" s="24" t="s">
        <v>600</v>
      </c>
      <c r="C209" s="27">
        <v>40379</v>
      </c>
      <c r="D209" s="45">
        <f t="shared" ca="1" si="7"/>
        <v>15</v>
      </c>
      <c r="E209" s="4">
        <v>35</v>
      </c>
      <c r="F209" s="4" t="s">
        <v>19</v>
      </c>
      <c r="G209" s="4" t="s">
        <v>50</v>
      </c>
      <c r="H209" s="4" t="s">
        <v>51</v>
      </c>
      <c r="I209" s="44" t="s">
        <v>620</v>
      </c>
      <c r="J209" s="5" t="s">
        <v>154</v>
      </c>
      <c r="K209" s="36" t="s">
        <v>155</v>
      </c>
      <c r="L209" s="2"/>
      <c r="M209" s="2"/>
      <c r="N209" s="2"/>
      <c r="O209" s="2"/>
      <c r="P209" s="2"/>
      <c r="Q209" s="2"/>
      <c r="R209" s="2"/>
      <c r="S209" s="3"/>
      <c r="T209" s="2"/>
      <c r="U209" s="2"/>
      <c r="V209" s="2"/>
      <c r="W209" s="2"/>
      <c r="X209" s="2"/>
      <c r="Y209" s="2"/>
      <c r="Z209" s="2"/>
      <c r="AA209" s="2"/>
      <c r="AB209" s="2"/>
      <c r="AC209" s="2"/>
      <c r="AD209" s="2"/>
      <c r="AE209" s="2"/>
    </row>
    <row r="210" spans="1:31" ht="22.5" customHeight="1" x14ac:dyDescent="0.25">
      <c r="A210" s="8">
        <f t="shared" si="6"/>
        <v>209</v>
      </c>
      <c r="B210" s="24" t="s">
        <v>426</v>
      </c>
      <c r="C210" s="27">
        <v>37905</v>
      </c>
      <c r="D210" s="45">
        <f t="shared" ca="1" si="7"/>
        <v>22</v>
      </c>
      <c r="E210" s="4">
        <v>52</v>
      </c>
      <c r="F210" s="4" t="s">
        <v>25</v>
      </c>
      <c r="G210" s="4" t="s">
        <v>20</v>
      </c>
      <c r="H210" s="4" t="s">
        <v>21</v>
      </c>
      <c r="I210" s="44" t="s">
        <v>620</v>
      </c>
      <c r="J210" s="5" t="s">
        <v>154</v>
      </c>
      <c r="K210" s="36" t="s">
        <v>155</v>
      </c>
      <c r="L210" s="2"/>
      <c r="M210" s="2"/>
      <c r="N210" s="2"/>
      <c r="O210" s="2"/>
      <c r="P210" s="2"/>
      <c r="Q210" s="2"/>
      <c r="R210" s="2"/>
      <c r="S210" s="3"/>
      <c r="T210" s="2"/>
      <c r="U210" s="2"/>
      <c r="V210" s="2"/>
      <c r="W210" s="2"/>
      <c r="X210" s="2"/>
      <c r="Y210" s="2"/>
      <c r="Z210" s="2"/>
      <c r="AA210" s="2"/>
      <c r="AB210" s="2"/>
      <c r="AC210" s="2"/>
      <c r="AD210" s="2"/>
      <c r="AE210" s="2"/>
    </row>
    <row r="211" spans="1:31" ht="22.5" customHeight="1" x14ac:dyDescent="0.25">
      <c r="A211" s="8">
        <f t="shared" si="6"/>
        <v>210</v>
      </c>
      <c r="B211" s="24" t="s">
        <v>418</v>
      </c>
      <c r="C211" s="27">
        <v>38803</v>
      </c>
      <c r="D211" s="45">
        <f t="shared" ca="1" si="7"/>
        <v>19</v>
      </c>
      <c r="E211" s="4">
        <v>60</v>
      </c>
      <c r="F211" s="4" t="s">
        <v>25</v>
      </c>
      <c r="G211" s="4" t="s">
        <v>37</v>
      </c>
      <c r="H211" s="4" t="s">
        <v>21</v>
      </c>
      <c r="I211" s="44" t="s">
        <v>621</v>
      </c>
      <c r="J211" s="5" t="s">
        <v>154</v>
      </c>
      <c r="K211" s="36" t="s">
        <v>155</v>
      </c>
      <c r="L211" s="2"/>
      <c r="M211" s="2"/>
      <c r="N211" s="2"/>
      <c r="O211" s="2"/>
      <c r="P211" s="2"/>
      <c r="Q211" s="2"/>
      <c r="R211" s="2"/>
      <c r="S211" s="3"/>
      <c r="T211" s="2"/>
      <c r="U211" s="2"/>
      <c r="V211" s="2"/>
      <c r="W211" s="2"/>
      <c r="X211" s="2"/>
      <c r="Y211" s="2"/>
      <c r="Z211" s="2"/>
      <c r="AA211" s="2"/>
      <c r="AB211" s="2"/>
      <c r="AC211" s="2"/>
      <c r="AD211" s="2"/>
      <c r="AE211" s="2"/>
    </row>
    <row r="212" spans="1:31" ht="22.5" customHeight="1" x14ac:dyDescent="0.25">
      <c r="A212" s="8">
        <f t="shared" si="6"/>
        <v>211</v>
      </c>
      <c r="B212" s="24" t="s">
        <v>469</v>
      </c>
      <c r="C212" s="27">
        <v>39326</v>
      </c>
      <c r="D212" s="45">
        <f t="shared" ca="1" si="7"/>
        <v>18</v>
      </c>
      <c r="E212" s="4">
        <v>42</v>
      </c>
      <c r="F212" s="4" t="s">
        <v>19</v>
      </c>
      <c r="G212" s="4" t="s">
        <v>61</v>
      </c>
      <c r="H212" s="4" t="s">
        <v>21</v>
      </c>
      <c r="I212" s="44" t="s">
        <v>621</v>
      </c>
      <c r="J212" s="5" t="s">
        <v>154</v>
      </c>
      <c r="K212" s="36" t="s">
        <v>155</v>
      </c>
      <c r="L212" s="2"/>
      <c r="M212" s="2"/>
      <c r="N212" s="2"/>
      <c r="O212" s="2"/>
      <c r="P212" s="2"/>
      <c r="Q212" s="2"/>
      <c r="R212" s="2"/>
      <c r="S212" s="3"/>
      <c r="T212" s="2"/>
      <c r="U212" s="2"/>
      <c r="V212" s="2"/>
      <c r="W212" s="2"/>
      <c r="X212" s="2"/>
      <c r="Y212" s="2"/>
      <c r="Z212" s="2"/>
      <c r="AA212" s="2"/>
      <c r="AB212" s="2"/>
      <c r="AC212" s="2"/>
      <c r="AD212" s="2"/>
      <c r="AE212" s="2"/>
    </row>
    <row r="213" spans="1:31" ht="22.5" customHeight="1" x14ac:dyDescent="0.25">
      <c r="A213" s="8">
        <f t="shared" si="6"/>
        <v>212</v>
      </c>
      <c r="B213" s="24" t="s">
        <v>264</v>
      </c>
      <c r="C213" s="27">
        <v>39348</v>
      </c>
      <c r="D213" s="45">
        <f t="shared" ca="1" si="7"/>
        <v>18</v>
      </c>
      <c r="E213" s="4">
        <v>47</v>
      </c>
      <c r="F213" s="4" t="s">
        <v>19</v>
      </c>
      <c r="G213" s="4" t="s">
        <v>34</v>
      </c>
      <c r="H213" s="4" t="s">
        <v>21</v>
      </c>
      <c r="I213" s="44" t="s">
        <v>620</v>
      </c>
      <c r="J213" s="5" t="s">
        <v>154</v>
      </c>
      <c r="K213" s="36" t="s">
        <v>155</v>
      </c>
      <c r="L213"/>
      <c r="M213"/>
      <c r="N213"/>
      <c r="O213"/>
      <c r="P213"/>
      <c r="S213" s="3"/>
      <c r="V213" s="2"/>
    </row>
    <row r="214" spans="1:31" ht="22.5" customHeight="1" x14ac:dyDescent="0.25">
      <c r="A214" s="8">
        <f t="shared" si="6"/>
        <v>213</v>
      </c>
      <c r="B214" s="24" t="s">
        <v>342</v>
      </c>
      <c r="C214" s="27">
        <v>43600</v>
      </c>
      <c r="D214" s="45">
        <f t="shared" ca="1" si="7"/>
        <v>6</v>
      </c>
      <c r="E214" s="4">
        <v>25</v>
      </c>
      <c r="F214" s="4" t="s">
        <v>25</v>
      </c>
      <c r="G214" s="4" t="s">
        <v>28</v>
      </c>
      <c r="H214" s="4" t="s">
        <v>21</v>
      </c>
      <c r="I214" s="44" t="s">
        <v>622</v>
      </c>
      <c r="J214" s="5" t="s">
        <v>211</v>
      </c>
      <c r="K214" s="36" t="s">
        <v>311</v>
      </c>
      <c r="L214"/>
      <c r="M214"/>
      <c r="N214"/>
      <c r="O214"/>
      <c r="P214"/>
      <c r="S214" s="3"/>
      <c r="V214" s="2"/>
    </row>
    <row r="215" spans="1:31" ht="22.5" customHeight="1" x14ac:dyDescent="0.25">
      <c r="A215" s="8">
        <f t="shared" si="6"/>
        <v>214</v>
      </c>
      <c r="B215" s="24" t="s">
        <v>310</v>
      </c>
      <c r="C215" s="27">
        <v>43194</v>
      </c>
      <c r="D215" s="45">
        <f t="shared" ca="1" si="7"/>
        <v>7</v>
      </c>
      <c r="E215" s="4">
        <v>24</v>
      </c>
      <c r="F215" s="4" t="s">
        <v>25</v>
      </c>
      <c r="G215" s="4" t="s">
        <v>39</v>
      </c>
      <c r="H215" s="4" t="s">
        <v>21</v>
      </c>
      <c r="I215" s="44" t="s">
        <v>621</v>
      </c>
      <c r="J215" s="5" t="s">
        <v>211</v>
      </c>
      <c r="K215" s="36" t="s">
        <v>311</v>
      </c>
      <c r="L215"/>
      <c r="M215"/>
      <c r="N215"/>
      <c r="O215"/>
      <c r="P215"/>
      <c r="S215" s="3"/>
      <c r="V215" s="2"/>
    </row>
    <row r="216" spans="1:31" ht="22.5" customHeight="1" x14ac:dyDescent="0.25">
      <c r="A216" s="8">
        <f t="shared" si="6"/>
        <v>215</v>
      </c>
      <c r="B216" s="24" t="s">
        <v>445</v>
      </c>
      <c r="C216" s="27">
        <v>43274</v>
      </c>
      <c r="D216" s="45">
        <f t="shared" ca="1" si="7"/>
        <v>7</v>
      </c>
      <c r="E216" s="4">
        <v>29</v>
      </c>
      <c r="F216" s="4" t="s">
        <v>25</v>
      </c>
      <c r="G216" s="4" t="s">
        <v>50</v>
      </c>
      <c r="H216" s="4" t="s">
        <v>21</v>
      </c>
      <c r="I216" s="44" t="s">
        <v>622</v>
      </c>
      <c r="J216" s="5" t="s">
        <v>211</v>
      </c>
      <c r="K216" s="36" t="s">
        <v>311</v>
      </c>
      <c r="L216"/>
      <c r="M216"/>
      <c r="N216"/>
      <c r="O216"/>
      <c r="P216"/>
      <c r="S216" s="3"/>
      <c r="V216" s="2"/>
    </row>
    <row r="217" spans="1:31" ht="22.5" customHeight="1" x14ac:dyDescent="0.25">
      <c r="A217" s="8">
        <f t="shared" si="6"/>
        <v>216</v>
      </c>
      <c r="B217" s="24" t="s">
        <v>333</v>
      </c>
      <c r="C217" s="27">
        <v>43105</v>
      </c>
      <c r="D217" s="45">
        <f t="shared" ca="1" si="7"/>
        <v>8</v>
      </c>
      <c r="E217" s="4">
        <v>28</v>
      </c>
      <c r="F217" s="4" t="s">
        <v>19</v>
      </c>
      <c r="G217" s="4" t="s">
        <v>28</v>
      </c>
      <c r="H217" s="4" t="s">
        <v>51</v>
      </c>
      <c r="I217" s="44" t="s">
        <v>622</v>
      </c>
      <c r="J217" s="5" t="s">
        <v>211</v>
      </c>
      <c r="K217" s="36" t="s">
        <v>311</v>
      </c>
      <c r="L217"/>
      <c r="M217"/>
      <c r="N217"/>
      <c r="O217"/>
      <c r="P217"/>
      <c r="S217" s="3"/>
      <c r="V217" s="2"/>
    </row>
    <row r="218" spans="1:31" ht="22.5" customHeight="1" x14ac:dyDescent="0.25">
      <c r="A218" s="8">
        <f t="shared" si="6"/>
        <v>217</v>
      </c>
      <c r="B218" s="24" t="s">
        <v>335</v>
      </c>
      <c r="C218" s="27">
        <v>43458</v>
      </c>
      <c r="D218" s="45">
        <f t="shared" ca="1" si="7"/>
        <v>7</v>
      </c>
      <c r="E218" s="4">
        <v>30</v>
      </c>
      <c r="F218" s="4" t="s">
        <v>19</v>
      </c>
      <c r="G218" s="4" t="s">
        <v>50</v>
      </c>
      <c r="H218" s="4" t="s">
        <v>51</v>
      </c>
      <c r="I218" s="44" t="s">
        <v>620</v>
      </c>
      <c r="J218" s="5" t="s">
        <v>211</v>
      </c>
      <c r="K218" s="36" t="s">
        <v>311</v>
      </c>
      <c r="L218"/>
      <c r="M218"/>
      <c r="N218"/>
      <c r="O218"/>
      <c r="P218"/>
      <c r="S218" s="3"/>
      <c r="V218" s="2"/>
    </row>
    <row r="219" spans="1:31" ht="22.5" customHeight="1" x14ac:dyDescent="0.25">
      <c r="A219" s="8">
        <f t="shared" si="6"/>
        <v>218</v>
      </c>
      <c r="B219" s="24" t="s">
        <v>339</v>
      </c>
      <c r="C219" s="27">
        <v>43068</v>
      </c>
      <c r="D219" s="45">
        <f t="shared" ca="1" si="7"/>
        <v>8</v>
      </c>
      <c r="E219" s="4">
        <v>30</v>
      </c>
      <c r="F219" s="4" t="s">
        <v>25</v>
      </c>
      <c r="G219" s="4" t="s">
        <v>50</v>
      </c>
      <c r="H219" s="4" t="s">
        <v>21</v>
      </c>
      <c r="I219" s="44" t="s">
        <v>620</v>
      </c>
      <c r="J219" s="5" t="s">
        <v>211</v>
      </c>
      <c r="K219" s="36" t="s">
        <v>311</v>
      </c>
      <c r="L219"/>
      <c r="M219"/>
      <c r="N219"/>
      <c r="O219"/>
      <c r="P219"/>
      <c r="S219" s="3"/>
      <c r="V219" s="2"/>
    </row>
    <row r="220" spans="1:31" ht="22.5" customHeight="1" x14ac:dyDescent="0.25">
      <c r="A220" s="8">
        <f t="shared" si="6"/>
        <v>219</v>
      </c>
      <c r="B220" s="24" t="s">
        <v>343</v>
      </c>
      <c r="C220" s="27">
        <v>43070</v>
      </c>
      <c r="D220" s="45">
        <f t="shared" ca="1" si="7"/>
        <v>8</v>
      </c>
      <c r="E220" s="4">
        <v>25</v>
      </c>
      <c r="F220" s="4" t="s">
        <v>19</v>
      </c>
      <c r="G220" s="4" t="s">
        <v>20</v>
      </c>
      <c r="H220" s="4" t="s">
        <v>21</v>
      </c>
      <c r="I220" s="44" t="s">
        <v>621</v>
      </c>
      <c r="J220" s="5" t="s">
        <v>211</v>
      </c>
      <c r="K220" s="36" t="s">
        <v>311</v>
      </c>
      <c r="L220"/>
      <c r="M220"/>
      <c r="N220"/>
      <c r="O220"/>
      <c r="P220"/>
      <c r="S220" s="3"/>
      <c r="V220" s="2"/>
    </row>
    <row r="221" spans="1:31" ht="22.5" customHeight="1" x14ac:dyDescent="0.25">
      <c r="A221" s="8">
        <f t="shared" si="6"/>
        <v>220</v>
      </c>
      <c r="B221" s="24" t="s">
        <v>338</v>
      </c>
      <c r="C221" s="27">
        <v>43051</v>
      </c>
      <c r="D221" s="45">
        <f t="shared" ca="1" si="7"/>
        <v>8</v>
      </c>
      <c r="E221" s="4">
        <v>33</v>
      </c>
      <c r="F221" s="4" t="s">
        <v>19</v>
      </c>
      <c r="G221" s="4" t="s">
        <v>50</v>
      </c>
      <c r="H221" s="4" t="s">
        <v>51</v>
      </c>
      <c r="I221" s="44" t="s">
        <v>621</v>
      </c>
      <c r="J221" s="5" t="s">
        <v>211</v>
      </c>
      <c r="K221" s="36" t="s">
        <v>311</v>
      </c>
      <c r="L221"/>
      <c r="M221"/>
      <c r="N221"/>
      <c r="O221"/>
      <c r="P221"/>
      <c r="S221" s="3"/>
      <c r="V221" s="2"/>
    </row>
    <row r="222" spans="1:31" ht="22.5" customHeight="1" x14ac:dyDescent="0.25">
      <c r="A222" s="8">
        <f t="shared" si="6"/>
        <v>221</v>
      </c>
      <c r="B222" s="24" t="s">
        <v>592</v>
      </c>
      <c r="C222" s="27">
        <v>42651</v>
      </c>
      <c r="D222" s="45">
        <f t="shared" ca="1" si="7"/>
        <v>9</v>
      </c>
      <c r="E222" s="4">
        <v>23</v>
      </c>
      <c r="F222" s="4" t="s">
        <v>25</v>
      </c>
      <c r="G222" s="4" t="s">
        <v>28</v>
      </c>
      <c r="H222" s="4" t="s">
        <v>21</v>
      </c>
      <c r="I222" s="44" t="s">
        <v>620</v>
      </c>
      <c r="J222" s="5" t="s">
        <v>211</v>
      </c>
      <c r="K222" s="36" t="s">
        <v>311</v>
      </c>
      <c r="L222"/>
      <c r="M222"/>
      <c r="N222"/>
      <c r="O222"/>
      <c r="P222"/>
      <c r="S222" s="3"/>
      <c r="V222" s="2"/>
    </row>
    <row r="223" spans="1:31" ht="22.5" customHeight="1" x14ac:dyDescent="0.25">
      <c r="A223" s="8">
        <f t="shared" si="6"/>
        <v>222</v>
      </c>
      <c r="B223" s="24" t="s">
        <v>334</v>
      </c>
      <c r="C223" s="27">
        <v>42466</v>
      </c>
      <c r="D223" s="45">
        <f t="shared" ca="1" si="7"/>
        <v>9</v>
      </c>
      <c r="E223" s="4">
        <v>32</v>
      </c>
      <c r="F223" s="4" t="s">
        <v>25</v>
      </c>
      <c r="G223" s="4" t="s">
        <v>42</v>
      </c>
      <c r="H223" s="4" t="s">
        <v>21</v>
      </c>
      <c r="I223" s="44" t="s">
        <v>622</v>
      </c>
      <c r="J223" s="5" t="s">
        <v>211</v>
      </c>
      <c r="K223" s="36" t="s">
        <v>311</v>
      </c>
      <c r="L223"/>
      <c r="M223"/>
      <c r="N223"/>
      <c r="O223"/>
      <c r="P223"/>
      <c r="S223" s="3"/>
      <c r="V223" s="2"/>
    </row>
    <row r="224" spans="1:31" ht="22.5" customHeight="1" x14ac:dyDescent="0.25">
      <c r="A224" s="8">
        <f t="shared" si="6"/>
        <v>223</v>
      </c>
      <c r="B224" s="24" t="s">
        <v>313</v>
      </c>
      <c r="C224" s="27">
        <v>42384</v>
      </c>
      <c r="D224" s="45">
        <f t="shared" ca="1" si="7"/>
        <v>10</v>
      </c>
      <c r="E224" s="4">
        <v>36</v>
      </c>
      <c r="F224" s="4" t="s">
        <v>25</v>
      </c>
      <c r="G224" s="4" t="s">
        <v>32</v>
      </c>
      <c r="H224" s="4" t="s">
        <v>21</v>
      </c>
      <c r="I224" s="44" t="s">
        <v>621</v>
      </c>
      <c r="J224" s="5" t="s">
        <v>211</v>
      </c>
      <c r="K224" s="36" t="s">
        <v>311</v>
      </c>
      <c r="L224"/>
      <c r="M224"/>
      <c r="N224"/>
      <c r="O224"/>
      <c r="P224"/>
      <c r="S224" s="3"/>
      <c r="V224" s="2"/>
    </row>
    <row r="225" spans="1:22" ht="22.5" customHeight="1" x14ac:dyDescent="0.25">
      <c r="A225" s="8">
        <f t="shared" si="6"/>
        <v>224</v>
      </c>
      <c r="B225" s="24" t="s">
        <v>348</v>
      </c>
      <c r="C225" s="27">
        <v>42639</v>
      </c>
      <c r="D225" s="45">
        <f t="shared" ca="1" si="7"/>
        <v>9</v>
      </c>
      <c r="E225" s="4">
        <v>43</v>
      </c>
      <c r="F225" s="4" t="s">
        <v>25</v>
      </c>
      <c r="G225" s="4" t="s">
        <v>39</v>
      </c>
      <c r="H225" s="4" t="s">
        <v>21</v>
      </c>
      <c r="I225" s="44" t="s">
        <v>622</v>
      </c>
      <c r="J225" s="5" t="s">
        <v>211</v>
      </c>
      <c r="K225" s="36" t="s">
        <v>311</v>
      </c>
      <c r="L225"/>
      <c r="M225"/>
      <c r="N225"/>
      <c r="O225"/>
      <c r="P225"/>
      <c r="S225" s="3"/>
      <c r="V225" s="2"/>
    </row>
    <row r="226" spans="1:22" ht="22.5" customHeight="1" x14ac:dyDescent="0.25">
      <c r="A226" s="8">
        <f t="shared" si="6"/>
        <v>225</v>
      </c>
      <c r="B226" s="24" t="s">
        <v>312</v>
      </c>
      <c r="C226" s="27">
        <v>42475</v>
      </c>
      <c r="D226" s="45">
        <f t="shared" ca="1" si="7"/>
        <v>9</v>
      </c>
      <c r="E226" s="4">
        <v>30</v>
      </c>
      <c r="F226" s="4" t="s">
        <v>19</v>
      </c>
      <c r="G226" s="4" t="s">
        <v>42</v>
      </c>
      <c r="H226" s="4" t="s">
        <v>21</v>
      </c>
      <c r="I226" s="44" t="s">
        <v>622</v>
      </c>
      <c r="J226" s="5" t="s">
        <v>211</v>
      </c>
      <c r="K226" s="36" t="s">
        <v>311</v>
      </c>
      <c r="L226"/>
      <c r="M226"/>
      <c r="N226"/>
      <c r="O226"/>
      <c r="P226"/>
      <c r="S226" s="3"/>
      <c r="V226" s="2"/>
    </row>
    <row r="227" spans="1:22" ht="22.5" customHeight="1" x14ac:dyDescent="0.25">
      <c r="A227" s="8">
        <f t="shared" si="6"/>
        <v>226</v>
      </c>
      <c r="B227" s="24" t="s">
        <v>616</v>
      </c>
      <c r="C227" s="27">
        <v>42516</v>
      </c>
      <c r="D227" s="45">
        <f t="shared" ca="1" si="7"/>
        <v>9</v>
      </c>
      <c r="E227" s="4">
        <v>40</v>
      </c>
      <c r="F227" s="4" t="s">
        <v>614</v>
      </c>
      <c r="G227" s="4" t="s">
        <v>28</v>
      </c>
      <c r="H227" s="4" t="s">
        <v>21</v>
      </c>
      <c r="I227" s="44" t="s">
        <v>620</v>
      </c>
      <c r="J227" s="5" t="s">
        <v>211</v>
      </c>
      <c r="K227" s="36" t="s">
        <v>311</v>
      </c>
      <c r="L227"/>
      <c r="M227"/>
      <c r="N227"/>
      <c r="O227"/>
      <c r="P227"/>
      <c r="S227" s="3"/>
      <c r="V227" s="2"/>
    </row>
    <row r="228" spans="1:22" ht="22.5" customHeight="1" x14ac:dyDescent="0.25">
      <c r="A228" s="8">
        <f t="shared" si="6"/>
        <v>227</v>
      </c>
      <c r="B228" s="24" t="s">
        <v>345</v>
      </c>
      <c r="C228" s="27">
        <v>42209</v>
      </c>
      <c r="D228" s="45">
        <f t="shared" ca="1" si="7"/>
        <v>10</v>
      </c>
      <c r="E228" s="4">
        <v>49</v>
      </c>
      <c r="F228" s="4" t="s">
        <v>25</v>
      </c>
      <c r="G228" s="4" t="s">
        <v>34</v>
      </c>
      <c r="H228" s="4" t="s">
        <v>21</v>
      </c>
      <c r="I228" s="44" t="s">
        <v>620</v>
      </c>
      <c r="J228" s="5" t="s">
        <v>211</v>
      </c>
      <c r="K228" s="36" t="s">
        <v>311</v>
      </c>
      <c r="L228"/>
      <c r="M228"/>
      <c r="N228"/>
      <c r="O228"/>
      <c r="P228"/>
      <c r="S228" s="3"/>
      <c r="V228" s="2"/>
    </row>
    <row r="229" spans="1:22" ht="22.5" customHeight="1" x14ac:dyDescent="0.25">
      <c r="A229" s="8">
        <f t="shared" si="6"/>
        <v>228</v>
      </c>
      <c r="B229" s="24" t="s">
        <v>428</v>
      </c>
      <c r="C229" s="27">
        <v>42357</v>
      </c>
      <c r="D229" s="45">
        <f t="shared" ca="1" si="7"/>
        <v>10</v>
      </c>
      <c r="E229" s="4">
        <v>32</v>
      </c>
      <c r="F229" s="4" t="s">
        <v>19</v>
      </c>
      <c r="G229" s="4" t="s">
        <v>39</v>
      </c>
      <c r="H229" s="4" t="s">
        <v>21</v>
      </c>
      <c r="I229" s="44" t="s">
        <v>621</v>
      </c>
      <c r="J229" s="5" t="s">
        <v>211</v>
      </c>
      <c r="K229" s="36" t="s">
        <v>311</v>
      </c>
      <c r="L229"/>
      <c r="M229"/>
      <c r="N229"/>
      <c r="O229"/>
      <c r="P229"/>
      <c r="S229" s="3"/>
      <c r="V229" s="2"/>
    </row>
    <row r="230" spans="1:22" ht="22.5" customHeight="1" x14ac:dyDescent="0.25">
      <c r="A230" s="8">
        <f t="shared" si="6"/>
        <v>229</v>
      </c>
      <c r="B230" s="24" t="s">
        <v>337</v>
      </c>
      <c r="C230" s="31">
        <v>42345</v>
      </c>
      <c r="D230" s="45">
        <f t="shared" ca="1" si="7"/>
        <v>10</v>
      </c>
      <c r="E230" s="4">
        <v>25</v>
      </c>
      <c r="F230" s="4" t="s">
        <v>19</v>
      </c>
      <c r="G230" s="4" t="s">
        <v>28</v>
      </c>
      <c r="H230" s="4" t="s">
        <v>21</v>
      </c>
      <c r="I230" s="44" t="s">
        <v>621</v>
      </c>
      <c r="J230" s="5" t="s">
        <v>211</v>
      </c>
      <c r="K230" s="36" t="s">
        <v>311</v>
      </c>
      <c r="L230"/>
      <c r="M230"/>
      <c r="N230"/>
      <c r="O230"/>
      <c r="P230"/>
      <c r="S230" s="3"/>
      <c r="V230" s="2"/>
    </row>
    <row r="231" spans="1:22" ht="22.5" customHeight="1" x14ac:dyDescent="0.25">
      <c r="A231" s="8">
        <f t="shared" si="6"/>
        <v>230</v>
      </c>
      <c r="B231" s="24" t="s">
        <v>344</v>
      </c>
      <c r="C231" s="27">
        <v>41712</v>
      </c>
      <c r="D231" s="45">
        <f t="shared" ca="1" si="7"/>
        <v>12</v>
      </c>
      <c r="E231" s="4">
        <v>56</v>
      </c>
      <c r="F231" s="4" t="s">
        <v>25</v>
      </c>
      <c r="G231" s="4" t="s">
        <v>20</v>
      </c>
      <c r="H231" s="4" t="s">
        <v>21</v>
      </c>
      <c r="I231" s="44" t="s">
        <v>620</v>
      </c>
      <c r="J231" s="5" t="s">
        <v>211</v>
      </c>
      <c r="K231" s="36" t="s">
        <v>311</v>
      </c>
      <c r="L231"/>
      <c r="M231"/>
      <c r="N231"/>
      <c r="O231"/>
      <c r="P231"/>
      <c r="S231" s="3"/>
      <c r="V231" s="2"/>
    </row>
    <row r="232" spans="1:22" ht="22.5" customHeight="1" x14ac:dyDescent="0.25">
      <c r="A232" s="8">
        <f t="shared" si="6"/>
        <v>231</v>
      </c>
      <c r="B232" s="24" t="s">
        <v>346</v>
      </c>
      <c r="C232" s="27">
        <v>41909</v>
      </c>
      <c r="D232" s="45">
        <f t="shared" ca="1" si="7"/>
        <v>11</v>
      </c>
      <c r="E232" s="4">
        <v>40</v>
      </c>
      <c r="F232" s="4" t="s">
        <v>19</v>
      </c>
      <c r="G232" s="4" t="s">
        <v>34</v>
      </c>
      <c r="H232" s="4" t="s">
        <v>21</v>
      </c>
      <c r="I232" s="44" t="s">
        <v>622</v>
      </c>
      <c r="J232" s="5" t="s">
        <v>211</v>
      </c>
      <c r="K232" s="36" t="s">
        <v>311</v>
      </c>
      <c r="L232"/>
      <c r="M232"/>
      <c r="N232"/>
      <c r="O232"/>
      <c r="P232"/>
      <c r="S232" s="3"/>
      <c r="V232" s="2"/>
    </row>
    <row r="233" spans="1:22" ht="22.5" customHeight="1" x14ac:dyDescent="0.25">
      <c r="A233" s="8">
        <f t="shared" si="6"/>
        <v>232</v>
      </c>
      <c r="B233" s="24" t="s">
        <v>341</v>
      </c>
      <c r="C233" s="27">
        <v>41931</v>
      </c>
      <c r="D233" s="45">
        <f t="shared" ca="1" si="7"/>
        <v>11</v>
      </c>
      <c r="E233" s="4">
        <v>46</v>
      </c>
      <c r="F233" s="4" t="s">
        <v>19</v>
      </c>
      <c r="G233" s="4" t="s">
        <v>28</v>
      </c>
      <c r="H233" s="4" t="s">
        <v>21</v>
      </c>
      <c r="I233" s="44" t="s">
        <v>621</v>
      </c>
      <c r="J233" s="5" t="s">
        <v>211</v>
      </c>
      <c r="K233" s="36" t="s">
        <v>311</v>
      </c>
      <c r="L233"/>
      <c r="M233"/>
      <c r="N233"/>
      <c r="O233"/>
      <c r="P233"/>
      <c r="S233" s="3"/>
      <c r="V233" s="2"/>
    </row>
    <row r="234" spans="1:22" ht="22.5" customHeight="1" x14ac:dyDescent="0.25">
      <c r="A234" s="8">
        <f t="shared" si="6"/>
        <v>233</v>
      </c>
      <c r="B234" s="24" t="s">
        <v>347</v>
      </c>
      <c r="C234" s="27">
        <v>41351</v>
      </c>
      <c r="D234" s="45">
        <f t="shared" ca="1" si="7"/>
        <v>13</v>
      </c>
      <c r="E234" s="4">
        <v>43</v>
      </c>
      <c r="F234" s="4" t="s">
        <v>19</v>
      </c>
      <c r="G234" s="4" t="s">
        <v>39</v>
      </c>
      <c r="H234" s="4" t="s">
        <v>21</v>
      </c>
      <c r="I234" s="44" t="s">
        <v>622</v>
      </c>
      <c r="J234" s="5" t="s">
        <v>211</v>
      </c>
      <c r="K234" s="36" t="s">
        <v>311</v>
      </c>
      <c r="L234"/>
      <c r="M234"/>
      <c r="N234"/>
      <c r="O234"/>
      <c r="P234"/>
      <c r="S234" s="3"/>
      <c r="V234" s="2"/>
    </row>
    <row r="235" spans="1:22" ht="22.5" customHeight="1" x14ac:dyDescent="0.25">
      <c r="A235" s="8">
        <f t="shared" si="6"/>
        <v>234</v>
      </c>
      <c r="B235" s="24" t="s">
        <v>522</v>
      </c>
      <c r="C235" s="27">
        <v>41218</v>
      </c>
      <c r="D235" s="45">
        <f t="shared" ca="1" si="7"/>
        <v>13</v>
      </c>
      <c r="E235" s="4">
        <v>40</v>
      </c>
      <c r="F235" s="4" t="s">
        <v>25</v>
      </c>
      <c r="G235" s="4" t="s">
        <v>61</v>
      </c>
      <c r="H235" s="4" t="s">
        <v>21</v>
      </c>
      <c r="I235" s="44" t="s">
        <v>622</v>
      </c>
      <c r="J235" s="5" t="s">
        <v>211</v>
      </c>
      <c r="K235" s="36" t="s">
        <v>311</v>
      </c>
      <c r="L235"/>
      <c r="M235"/>
      <c r="N235"/>
      <c r="O235"/>
      <c r="P235"/>
      <c r="S235" s="3"/>
      <c r="V235" s="2"/>
    </row>
    <row r="236" spans="1:22" ht="22.5" customHeight="1" x14ac:dyDescent="0.25">
      <c r="A236" s="8">
        <f t="shared" si="6"/>
        <v>235</v>
      </c>
      <c r="B236" s="24" t="s">
        <v>314</v>
      </c>
      <c r="C236" s="27">
        <v>40999</v>
      </c>
      <c r="D236" s="45">
        <f t="shared" ca="1" si="7"/>
        <v>13</v>
      </c>
      <c r="E236" s="4">
        <v>42</v>
      </c>
      <c r="F236" s="4" t="s">
        <v>25</v>
      </c>
      <c r="G236" s="4" t="s">
        <v>26</v>
      </c>
      <c r="H236" s="4" t="s">
        <v>21</v>
      </c>
      <c r="I236" s="44" t="s">
        <v>620</v>
      </c>
      <c r="J236" s="5" t="s">
        <v>211</v>
      </c>
      <c r="K236" s="36" t="s">
        <v>311</v>
      </c>
      <c r="L236"/>
      <c r="M236"/>
      <c r="N236"/>
      <c r="O236"/>
      <c r="P236"/>
      <c r="S236" s="3"/>
      <c r="V236" s="2"/>
    </row>
    <row r="237" spans="1:22" ht="22.5" customHeight="1" x14ac:dyDescent="0.25">
      <c r="A237" s="8">
        <f t="shared" si="6"/>
        <v>236</v>
      </c>
      <c r="B237" s="24" t="s">
        <v>315</v>
      </c>
      <c r="C237" s="27">
        <v>41104</v>
      </c>
      <c r="D237" s="45">
        <f t="shared" ca="1" si="7"/>
        <v>13</v>
      </c>
      <c r="E237" s="4">
        <v>85</v>
      </c>
      <c r="F237" s="4" t="s">
        <v>25</v>
      </c>
      <c r="G237" s="4" t="s">
        <v>26</v>
      </c>
      <c r="H237" s="4" t="s">
        <v>21</v>
      </c>
      <c r="I237" s="44" t="s">
        <v>620</v>
      </c>
      <c r="J237" s="5" t="s">
        <v>211</v>
      </c>
      <c r="K237" s="36" t="s">
        <v>311</v>
      </c>
      <c r="L237"/>
      <c r="M237"/>
      <c r="N237"/>
      <c r="O237"/>
      <c r="P237"/>
      <c r="S237" s="3"/>
      <c r="V237" s="2"/>
    </row>
    <row r="238" spans="1:22" ht="22.5" customHeight="1" x14ac:dyDescent="0.25">
      <c r="A238" s="8">
        <f t="shared" si="6"/>
        <v>237</v>
      </c>
      <c r="B238" s="24" t="s">
        <v>336</v>
      </c>
      <c r="C238" s="27">
        <v>40720</v>
      </c>
      <c r="D238" s="45">
        <f t="shared" ca="1" si="7"/>
        <v>14</v>
      </c>
      <c r="E238" s="4">
        <v>62</v>
      </c>
      <c r="F238" s="4" t="s">
        <v>25</v>
      </c>
      <c r="G238" s="4" t="s">
        <v>39</v>
      </c>
      <c r="H238" s="4" t="s">
        <v>21</v>
      </c>
      <c r="I238" s="44" t="s">
        <v>621</v>
      </c>
      <c r="J238" s="5" t="s">
        <v>211</v>
      </c>
      <c r="K238" s="36" t="s">
        <v>311</v>
      </c>
      <c r="L238"/>
      <c r="M238"/>
      <c r="N238"/>
      <c r="O238"/>
      <c r="P238"/>
      <c r="S238" s="3"/>
      <c r="V238" s="2"/>
    </row>
    <row r="239" spans="1:22" ht="22.5" customHeight="1" x14ac:dyDescent="0.25">
      <c r="A239" s="8">
        <f t="shared" si="6"/>
        <v>238</v>
      </c>
      <c r="B239" s="24" t="s">
        <v>316</v>
      </c>
      <c r="C239" s="27">
        <v>40141</v>
      </c>
      <c r="D239" s="45">
        <f t="shared" ca="1" si="7"/>
        <v>16</v>
      </c>
      <c r="E239" s="4">
        <v>48</v>
      </c>
      <c r="F239" s="4" t="s">
        <v>19</v>
      </c>
      <c r="G239" s="4" t="s">
        <v>37</v>
      </c>
      <c r="H239" s="4" t="s">
        <v>21</v>
      </c>
      <c r="I239" s="44" t="s">
        <v>621</v>
      </c>
      <c r="J239" s="5" t="s">
        <v>211</v>
      </c>
      <c r="K239" s="36" t="s">
        <v>311</v>
      </c>
      <c r="L239"/>
      <c r="M239"/>
      <c r="N239"/>
      <c r="O239"/>
      <c r="P239"/>
      <c r="S239" s="3"/>
      <c r="V239" s="2"/>
    </row>
    <row r="240" spans="1:22" ht="22.5" customHeight="1" x14ac:dyDescent="0.25">
      <c r="A240" s="8">
        <f t="shared" si="6"/>
        <v>239</v>
      </c>
      <c r="B240" s="24" t="s">
        <v>318</v>
      </c>
      <c r="C240" s="27">
        <v>39739</v>
      </c>
      <c r="D240" s="45">
        <f t="shared" ca="1" si="7"/>
        <v>17</v>
      </c>
      <c r="E240" s="4">
        <v>63</v>
      </c>
      <c r="F240" s="4" t="s">
        <v>19</v>
      </c>
      <c r="G240" s="4" t="s">
        <v>37</v>
      </c>
      <c r="H240" s="4" t="s">
        <v>21</v>
      </c>
      <c r="I240" s="44" t="s">
        <v>620</v>
      </c>
      <c r="J240" s="5" t="s">
        <v>211</v>
      </c>
      <c r="K240" s="36" t="s">
        <v>311</v>
      </c>
      <c r="L240"/>
      <c r="M240"/>
      <c r="N240"/>
      <c r="O240"/>
      <c r="P240"/>
      <c r="S240" s="3"/>
      <c r="V240" s="2"/>
    </row>
    <row r="241" spans="1:22" ht="22.5" customHeight="1" x14ac:dyDescent="0.25">
      <c r="A241" s="8">
        <f t="shared" si="6"/>
        <v>240</v>
      </c>
      <c r="B241" s="24" t="s">
        <v>429</v>
      </c>
      <c r="C241" s="27">
        <v>39027</v>
      </c>
      <c r="D241" s="45">
        <f t="shared" ca="1" si="7"/>
        <v>19</v>
      </c>
      <c r="E241" s="4">
        <v>65</v>
      </c>
      <c r="F241" s="4" t="s">
        <v>25</v>
      </c>
      <c r="G241" s="4" t="s">
        <v>26</v>
      </c>
      <c r="H241" s="4" t="s">
        <v>21</v>
      </c>
      <c r="I241" s="44" t="s">
        <v>622</v>
      </c>
      <c r="J241" s="5" t="s">
        <v>211</v>
      </c>
      <c r="K241" s="36" t="s">
        <v>311</v>
      </c>
      <c r="L241"/>
      <c r="M241"/>
      <c r="N241"/>
      <c r="O241"/>
      <c r="P241"/>
      <c r="S241" s="3"/>
      <c r="V241" s="2"/>
    </row>
    <row r="242" spans="1:22" ht="22.5" customHeight="1" x14ac:dyDescent="0.25">
      <c r="A242" s="8">
        <f t="shared" si="6"/>
        <v>241</v>
      </c>
      <c r="B242" s="24" t="s">
        <v>586</v>
      </c>
      <c r="C242" s="27">
        <v>38428</v>
      </c>
      <c r="D242" s="45">
        <f t="shared" ca="1" si="7"/>
        <v>21</v>
      </c>
      <c r="E242" s="4">
        <v>68</v>
      </c>
      <c r="F242" s="4" t="s">
        <v>25</v>
      </c>
      <c r="G242" s="4" t="s">
        <v>26</v>
      </c>
      <c r="H242" s="4" t="s">
        <v>21</v>
      </c>
      <c r="I242" s="44" t="s">
        <v>621</v>
      </c>
      <c r="J242" s="5" t="s">
        <v>211</v>
      </c>
      <c r="K242" s="36" t="s">
        <v>311</v>
      </c>
      <c r="L242"/>
      <c r="M242"/>
      <c r="N242"/>
      <c r="O242"/>
      <c r="P242"/>
      <c r="S242" s="3"/>
      <c r="V242" s="2"/>
    </row>
    <row r="243" spans="1:22" ht="22.5" customHeight="1" x14ac:dyDescent="0.25">
      <c r="A243" s="8">
        <f t="shared" si="6"/>
        <v>242</v>
      </c>
      <c r="B243" s="24" t="s">
        <v>437</v>
      </c>
      <c r="C243" s="27">
        <v>41075</v>
      </c>
      <c r="D243" s="45">
        <f t="shared" ca="1" si="7"/>
        <v>13</v>
      </c>
      <c r="E243" s="4">
        <v>39</v>
      </c>
      <c r="F243" s="4" t="s">
        <v>19</v>
      </c>
      <c r="G243" s="4" t="s">
        <v>39</v>
      </c>
      <c r="H243" s="4" t="s">
        <v>21</v>
      </c>
      <c r="I243" s="44" t="s">
        <v>622</v>
      </c>
      <c r="J243" s="5" t="s">
        <v>211</v>
      </c>
      <c r="K243" s="36" t="s">
        <v>432</v>
      </c>
      <c r="L243"/>
      <c r="M243"/>
      <c r="N243"/>
      <c r="O243"/>
      <c r="P243"/>
      <c r="S243" s="3"/>
      <c r="V243" s="2"/>
    </row>
    <row r="244" spans="1:22" ht="22.5" customHeight="1" x14ac:dyDescent="0.25">
      <c r="A244" s="8">
        <f t="shared" si="6"/>
        <v>243</v>
      </c>
      <c r="B244" s="24" t="s">
        <v>438</v>
      </c>
      <c r="C244" s="27">
        <v>40710</v>
      </c>
      <c r="D244" s="45">
        <f t="shared" ca="1" si="7"/>
        <v>14</v>
      </c>
      <c r="E244" s="4">
        <v>39</v>
      </c>
      <c r="F244" s="4" t="s">
        <v>19</v>
      </c>
      <c r="G244" s="4" t="s">
        <v>39</v>
      </c>
      <c r="H244" s="4" t="s">
        <v>21</v>
      </c>
      <c r="I244" s="44" t="s">
        <v>622</v>
      </c>
      <c r="J244" s="5" t="s">
        <v>211</v>
      </c>
      <c r="K244" s="36" t="s">
        <v>432</v>
      </c>
      <c r="L244"/>
      <c r="M244"/>
      <c r="N244"/>
      <c r="O244"/>
      <c r="P244"/>
      <c r="S244" s="3"/>
      <c r="V244" s="2"/>
    </row>
    <row r="245" spans="1:22" ht="22.5" customHeight="1" x14ac:dyDescent="0.25">
      <c r="A245" s="8">
        <f t="shared" si="6"/>
        <v>244</v>
      </c>
      <c r="B245" s="24" t="s">
        <v>443</v>
      </c>
      <c r="C245" s="27">
        <v>40591</v>
      </c>
      <c r="D245" s="45">
        <f t="shared" ca="1" si="7"/>
        <v>15</v>
      </c>
      <c r="E245" s="4">
        <v>43</v>
      </c>
      <c r="F245" s="4" t="s">
        <v>19</v>
      </c>
      <c r="G245" s="4" t="s">
        <v>39</v>
      </c>
      <c r="H245" s="4" t="s">
        <v>21</v>
      </c>
      <c r="I245" s="44" t="s">
        <v>620</v>
      </c>
      <c r="J245" s="5" t="s">
        <v>211</v>
      </c>
      <c r="K245" s="36" t="s">
        <v>432</v>
      </c>
      <c r="L245"/>
      <c r="M245"/>
      <c r="N245"/>
      <c r="O245"/>
      <c r="P245"/>
      <c r="S245" s="3"/>
      <c r="V245" s="2"/>
    </row>
    <row r="246" spans="1:22" ht="22.5" customHeight="1" x14ac:dyDescent="0.25">
      <c r="A246" s="8">
        <f t="shared" si="6"/>
        <v>245</v>
      </c>
      <c r="B246" s="24" t="s">
        <v>439</v>
      </c>
      <c r="C246" s="27">
        <v>40711</v>
      </c>
      <c r="D246" s="45">
        <f t="shared" ca="1" si="7"/>
        <v>14</v>
      </c>
      <c r="E246" s="4">
        <v>50</v>
      </c>
      <c r="F246" s="4" t="s">
        <v>19</v>
      </c>
      <c r="G246" s="4" t="s">
        <v>39</v>
      </c>
      <c r="H246" s="4" t="s">
        <v>21</v>
      </c>
      <c r="I246" s="44" t="s">
        <v>620</v>
      </c>
      <c r="J246" s="5" t="s">
        <v>211</v>
      </c>
      <c r="K246" s="36" t="s">
        <v>432</v>
      </c>
      <c r="L246"/>
      <c r="M246"/>
      <c r="N246"/>
      <c r="O246"/>
      <c r="P246"/>
      <c r="S246" s="3"/>
      <c r="V246" s="2"/>
    </row>
    <row r="247" spans="1:22" ht="22.5" customHeight="1" x14ac:dyDescent="0.25">
      <c r="A247" s="8">
        <f t="shared" si="6"/>
        <v>246</v>
      </c>
      <c r="B247" s="24" t="s">
        <v>436</v>
      </c>
      <c r="C247" s="27">
        <v>39773</v>
      </c>
      <c r="D247" s="45">
        <f t="shared" ca="1" si="7"/>
        <v>17</v>
      </c>
      <c r="E247" s="4">
        <v>42</v>
      </c>
      <c r="F247" s="4" t="s">
        <v>19</v>
      </c>
      <c r="G247" s="4" t="s">
        <v>20</v>
      </c>
      <c r="H247" s="4" t="s">
        <v>21</v>
      </c>
      <c r="I247" s="44" t="s">
        <v>621</v>
      </c>
      <c r="J247" s="5" t="s">
        <v>211</v>
      </c>
      <c r="K247" s="36" t="s">
        <v>432</v>
      </c>
      <c r="L247"/>
      <c r="M247"/>
      <c r="N247"/>
      <c r="O247"/>
      <c r="P247"/>
      <c r="S247" s="3"/>
      <c r="V247" s="2"/>
    </row>
    <row r="248" spans="1:22" ht="22.5" customHeight="1" x14ac:dyDescent="0.25">
      <c r="A248" s="8">
        <f t="shared" si="6"/>
        <v>247</v>
      </c>
      <c r="B248" s="24" t="s">
        <v>434</v>
      </c>
      <c r="C248" s="27">
        <v>39748</v>
      </c>
      <c r="D248" s="45">
        <f t="shared" ca="1" si="7"/>
        <v>17</v>
      </c>
      <c r="E248" s="4">
        <v>53</v>
      </c>
      <c r="F248" s="4" t="s">
        <v>19</v>
      </c>
      <c r="G248" s="4" t="s">
        <v>34</v>
      </c>
      <c r="H248" s="4" t="s">
        <v>21</v>
      </c>
      <c r="I248" s="44" t="s">
        <v>621</v>
      </c>
      <c r="J248" s="5" t="s">
        <v>211</v>
      </c>
      <c r="K248" s="36" t="s">
        <v>432</v>
      </c>
      <c r="L248"/>
      <c r="M248"/>
      <c r="N248"/>
      <c r="O248"/>
      <c r="P248"/>
      <c r="S248" s="3"/>
      <c r="V248" s="2"/>
    </row>
    <row r="249" spans="1:22" ht="22.5" customHeight="1" x14ac:dyDescent="0.25">
      <c r="A249" s="8">
        <f t="shared" si="6"/>
        <v>248</v>
      </c>
      <c r="B249" s="24" t="s">
        <v>433</v>
      </c>
      <c r="C249" s="27">
        <v>39676</v>
      </c>
      <c r="D249" s="45">
        <f t="shared" ca="1" si="7"/>
        <v>17</v>
      </c>
      <c r="E249" s="4">
        <v>58</v>
      </c>
      <c r="F249" s="4" t="s">
        <v>19</v>
      </c>
      <c r="G249" s="4" t="s">
        <v>34</v>
      </c>
      <c r="H249" s="4" t="s">
        <v>21</v>
      </c>
      <c r="I249" s="44" t="s">
        <v>620</v>
      </c>
      <c r="J249" s="5" t="s">
        <v>211</v>
      </c>
      <c r="K249" s="36" t="s">
        <v>432</v>
      </c>
      <c r="L249"/>
      <c r="M249"/>
      <c r="N249"/>
      <c r="O249"/>
      <c r="P249"/>
      <c r="S249" s="3"/>
      <c r="V249" s="2"/>
    </row>
    <row r="250" spans="1:22" ht="22.5" customHeight="1" x14ac:dyDescent="0.25">
      <c r="A250" s="8">
        <f t="shared" si="6"/>
        <v>249</v>
      </c>
      <c r="B250" s="24" t="s">
        <v>435</v>
      </c>
      <c r="C250" s="27">
        <v>39581</v>
      </c>
      <c r="D250" s="45">
        <f t="shared" ca="1" si="7"/>
        <v>17</v>
      </c>
      <c r="E250" s="4">
        <v>59</v>
      </c>
      <c r="F250" s="4" t="s">
        <v>19</v>
      </c>
      <c r="G250" s="4" t="s">
        <v>34</v>
      </c>
      <c r="H250" s="4" t="s">
        <v>21</v>
      </c>
      <c r="I250" s="44" t="s">
        <v>622</v>
      </c>
      <c r="J250" s="5" t="s">
        <v>211</v>
      </c>
      <c r="K250" s="36" t="s">
        <v>432</v>
      </c>
      <c r="L250"/>
      <c r="M250"/>
      <c r="N250"/>
      <c r="O250"/>
      <c r="P250"/>
      <c r="S250" s="3"/>
      <c r="V250" s="2"/>
    </row>
    <row r="251" spans="1:22" ht="22.5" customHeight="1" x14ac:dyDescent="0.25">
      <c r="A251" s="8">
        <f t="shared" si="6"/>
        <v>250</v>
      </c>
      <c r="B251" s="24" t="s">
        <v>431</v>
      </c>
      <c r="C251" s="27">
        <v>38967</v>
      </c>
      <c r="D251" s="45">
        <f t="shared" ca="1" si="7"/>
        <v>19</v>
      </c>
      <c r="E251" s="4">
        <v>63</v>
      </c>
      <c r="F251" s="4" t="s">
        <v>19</v>
      </c>
      <c r="G251" s="4" t="s">
        <v>61</v>
      </c>
      <c r="H251" s="4" t="s">
        <v>21</v>
      </c>
      <c r="I251" s="44" t="s">
        <v>621</v>
      </c>
      <c r="J251" s="5" t="s">
        <v>211</v>
      </c>
      <c r="K251" s="36" t="s">
        <v>432</v>
      </c>
      <c r="L251"/>
      <c r="M251"/>
      <c r="N251"/>
      <c r="O251"/>
      <c r="P251"/>
      <c r="S251" s="3"/>
      <c r="V251" s="2"/>
    </row>
    <row r="252" spans="1:22" ht="22.5" customHeight="1" x14ac:dyDescent="0.25">
      <c r="A252" s="8">
        <f t="shared" si="6"/>
        <v>251</v>
      </c>
      <c r="B252" s="24" t="s">
        <v>57</v>
      </c>
      <c r="C252" s="27">
        <v>43912</v>
      </c>
      <c r="D252" s="45">
        <f t="shared" ca="1" si="7"/>
        <v>6</v>
      </c>
      <c r="E252" s="4">
        <v>22</v>
      </c>
      <c r="F252" s="4" t="s">
        <v>25</v>
      </c>
      <c r="G252" s="4" t="s">
        <v>28</v>
      </c>
      <c r="H252" s="4" t="s">
        <v>21</v>
      </c>
      <c r="I252" s="44" t="s">
        <v>622</v>
      </c>
      <c r="J252" s="5" t="s">
        <v>22</v>
      </c>
      <c r="K252" s="36" t="s">
        <v>23</v>
      </c>
      <c r="L252"/>
      <c r="M252"/>
      <c r="N252"/>
      <c r="O252"/>
      <c r="P252"/>
      <c r="S252" s="3"/>
      <c r="V252" s="2"/>
    </row>
    <row r="253" spans="1:22" ht="22.5" customHeight="1" x14ac:dyDescent="0.25">
      <c r="A253" s="8">
        <f t="shared" si="6"/>
        <v>252</v>
      </c>
      <c r="B253" s="24" t="s">
        <v>99</v>
      </c>
      <c r="C253" s="27">
        <v>43586</v>
      </c>
      <c r="D253" s="45">
        <f t="shared" ca="1" si="7"/>
        <v>6</v>
      </c>
      <c r="E253" s="4">
        <v>20</v>
      </c>
      <c r="F253" s="4" t="s">
        <v>19</v>
      </c>
      <c r="G253" s="4" t="s">
        <v>28</v>
      </c>
      <c r="H253" s="4" t="s">
        <v>21</v>
      </c>
      <c r="I253" s="44" t="s">
        <v>622</v>
      </c>
      <c r="J253" s="5" t="s">
        <v>22</v>
      </c>
      <c r="K253" s="36" t="s">
        <v>23</v>
      </c>
      <c r="L253"/>
      <c r="M253"/>
      <c r="N253"/>
      <c r="O253"/>
      <c r="P253"/>
      <c r="S253" s="3"/>
      <c r="V253" s="2"/>
    </row>
    <row r="254" spans="1:22" ht="22.5" customHeight="1" x14ac:dyDescent="0.25">
      <c r="A254" s="8">
        <f t="shared" si="6"/>
        <v>253</v>
      </c>
      <c r="B254" s="24" t="s">
        <v>110</v>
      </c>
      <c r="C254" s="27">
        <v>43719</v>
      </c>
      <c r="D254" s="45">
        <f t="shared" ca="1" si="7"/>
        <v>6</v>
      </c>
      <c r="E254" s="4">
        <v>24</v>
      </c>
      <c r="F254" s="4" t="s">
        <v>19</v>
      </c>
      <c r="G254" s="4" t="s">
        <v>20</v>
      </c>
      <c r="H254" s="4" t="s">
        <v>21</v>
      </c>
      <c r="I254" s="44" t="s">
        <v>620</v>
      </c>
      <c r="J254" s="5" t="s">
        <v>22</v>
      </c>
      <c r="K254" s="36" t="s">
        <v>23</v>
      </c>
      <c r="L254"/>
      <c r="M254"/>
      <c r="N254"/>
      <c r="O254"/>
      <c r="P254"/>
      <c r="S254" s="3"/>
      <c r="V254" s="2"/>
    </row>
    <row r="255" spans="1:22" ht="22.5" customHeight="1" x14ac:dyDescent="0.25">
      <c r="A255" s="8">
        <f t="shared" si="6"/>
        <v>254</v>
      </c>
      <c r="B255" s="24" t="s">
        <v>62</v>
      </c>
      <c r="C255" s="27">
        <v>43696</v>
      </c>
      <c r="D255" s="45">
        <f t="shared" ca="1" si="7"/>
        <v>6</v>
      </c>
      <c r="E255" s="4">
        <v>27</v>
      </c>
      <c r="F255" s="4" t="s">
        <v>19</v>
      </c>
      <c r="G255" s="4" t="s">
        <v>39</v>
      </c>
      <c r="H255" s="4" t="s">
        <v>21</v>
      </c>
      <c r="I255" s="44" t="s">
        <v>620</v>
      </c>
      <c r="J255" s="5" t="s">
        <v>22</v>
      </c>
      <c r="K255" s="36" t="s">
        <v>23</v>
      </c>
      <c r="L255"/>
      <c r="M255"/>
      <c r="N255"/>
      <c r="O255"/>
      <c r="P255"/>
      <c r="S255" s="3"/>
      <c r="V255" s="2"/>
    </row>
    <row r="256" spans="1:22" ht="22.5" customHeight="1" x14ac:dyDescent="0.25">
      <c r="A256" s="8">
        <f t="shared" si="6"/>
        <v>255</v>
      </c>
      <c r="B256" s="24" t="s">
        <v>84</v>
      </c>
      <c r="C256" s="27">
        <v>43118</v>
      </c>
      <c r="D256" s="45">
        <f t="shared" ca="1" si="7"/>
        <v>8</v>
      </c>
      <c r="E256" s="4">
        <v>34</v>
      </c>
      <c r="F256" s="4" t="s">
        <v>25</v>
      </c>
      <c r="G256" s="4" t="s">
        <v>28</v>
      </c>
      <c r="H256" s="4" t="s">
        <v>21</v>
      </c>
      <c r="I256" s="44" t="s">
        <v>621</v>
      </c>
      <c r="J256" s="5" t="s">
        <v>22</v>
      </c>
      <c r="K256" s="36" t="s">
        <v>23</v>
      </c>
      <c r="L256"/>
      <c r="M256"/>
      <c r="N256"/>
      <c r="O256"/>
      <c r="P256"/>
      <c r="S256" s="3"/>
      <c r="V256" s="2"/>
    </row>
    <row r="257" spans="1:22" ht="22.5" customHeight="1" x14ac:dyDescent="0.25">
      <c r="A257" s="8">
        <f t="shared" si="6"/>
        <v>256</v>
      </c>
      <c r="B257" s="24" t="s">
        <v>185</v>
      </c>
      <c r="C257" s="27">
        <v>43351</v>
      </c>
      <c r="D257" s="45">
        <f t="shared" ca="1" si="7"/>
        <v>7</v>
      </c>
      <c r="E257" s="4">
        <v>18</v>
      </c>
      <c r="F257" s="4" t="s">
        <v>19</v>
      </c>
      <c r="G257" s="4" t="s">
        <v>28</v>
      </c>
      <c r="H257" s="4" t="s">
        <v>21</v>
      </c>
      <c r="I257" s="44" t="s">
        <v>621</v>
      </c>
      <c r="J257" s="5" t="s">
        <v>22</v>
      </c>
      <c r="K257" s="36" t="s">
        <v>23</v>
      </c>
      <c r="L257"/>
      <c r="M257"/>
      <c r="N257"/>
      <c r="O257"/>
      <c r="P257"/>
      <c r="S257" s="3"/>
      <c r="V257" s="2"/>
    </row>
    <row r="258" spans="1:22" ht="22.5" customHeight="1" x14ac:dyDescent="0.25">
      <c r="A258" s="8">
        <f t="shared" si="6"/>
        <v>257</v>
      </c>
      <c r="B258" s="24" t="s">
        <v>82</v>
      </c>
      <c r="C258" s="27">
        <v>43394</v>
      </c>
      <c r="D258" s="45">
        <f t="shared" ca="1" si="7"/>
        <v>7</v>
      </c>
      <c r="E258" s="4">
        <v>23</v>
      </c>
      <c r="F258" s="4" t="s">
        <v>19</v>
      </c>
      <c r="G258" s="4" t="s">
        <v>28</v>
      </c>
      <c r="H258" s="4" t="s">
        <v>21</v>
      </c>
      <c r="I258" s="44" t="s">
        <v>620</v>
      </c>
      <c r="J258" s="5" t="s">
        <v>22</v>
      </c>
      <c r="K258" s="36" t="s">
        <v>23</v>
      </c>
      <c r="L258"/>
      <c r="M258"/>
      <c r="N258"/>
      <c r="O258"/>
      <c r="P258"/>
      <c r="S258" s="3"/>
      <c r="V258" s="2"/>
    </row>
    <row r="259" spans="1:22" ht="22.5" customHeight="1" x14ac:dyDescent="0.25">
      <c r="A259" s="8">
        <f t="shared" ref="A259:A322" si="8">A258+1</f>
        <v>258</v>
      </c>
      <c r="B259" s="24" t="s">
        <v>66</v>
      </c>
      <c r="C259" s="27">
        <v>43110</v>
      </c>
      <c r="D259" s="45">
        <f t="shared" ref="D259:D322" ca="1" si="9">DATEDIF(C259, TODAY(), "Y")</f>
        <v>8</v>
      </c>
      <c r="E259" s="4">
        <v>37</v>
      </c>
      <c r="F259" s="4" t="s">
        <v>19</v>
      </c>
      <c r="G259" s="4" t="s">
        <v>28</v>
      </c>
      <c r="H259" s="4" t="s">
        <v>21</v>
      </c>
      <c r="I259" s="44" t="s">
        <v>622</v>
      </c>
      <c r="J259" s="5" t="s">
        <v>22</v>
      </c>
      <c r="K259" s="36" t="s">
        <v>23</v>
      </c>
      <c r="L259"/>
      <c r="M259"/>
      <c r="N259"/>
      <c r="O259"/>
      <c r="P259"/>
      <c r="S259" s="3"/>
      <c r="V259" s="2"/>
    </row>
    <row r="260" spans="1:22" ht="22.5" customHeight="1" x14ac:dyDescent="0.25">
      <c r="A260" s="8">
        <f t="shared" si="8"/>
        <v>259</v>
      </c>
      <c r="B260" s="24" t="s">
        <v>101</v>
      </c>
      <c r="C260" s="27">
        <v>42739</v>
      </c>
      <c r="D260" s="45">
        <f t="shared" ca="1" si="9"/>
        <v>9</v>
      </c>
      <c r="E260" s="4">
        <v>20</v>
      </c>
      <c r="F260" s="4" t="s">
        <v>25</v>
      </c>
      <c r="G260" s="4" t="s">
        <v>28</v>
      </c>
      <c r="H260" s="4" t="s">
        <v>21</v>
      </c>
      <c r="I260" s="44" t="s">
        <v>621</v>
      </c>
      <c r="J260" s="5" t="s">
        <v>22</v>
      </c>
      <c r="K260" s="36" t="s">
        <v>23</v>
      </c>
      <c r="L260"/>
      <c r="M260"/>
      <c r="N260"/>
      <c r="O260"/>
      <c r="P260"/>
      <c r="S260" s="3"/>
      <c r="V260" s="2"/>
    </row>
    <row r="261" spans="1:22" ht="22.5" customHeight="1" x14ac:dyDescent="0.25">
      <c r="A261" s="8">
        <f t="shared" si="8"/>
        <v>260</v>
      </c>
      <c r="B261" s="24" t="s">
        <v>525</v>
      </c>
      <c r="C261" s="27">
        <v>42988</v>
      </c>
      <c r="D261" s="45">
        <f t="shared" ca="1" si="9"/>
        <v>8</v>
      </c>
      <c r="E261" s="4">
        <v>23</v>
      </c>
      <c r="F261" s="4" t="s">
        <v>25</v>
      </c>
      <c r="G261" s="4" t="s">
        <v>28</v>
      </c>
      <c r="H261" s="4" t="s">
        <v>21</v>
      </c>
      <c r="I261" s="44" t="s">
        <v>622</v>
      </c>
      <c r="J261" s="5" t="s">
        <v>22</v>
      </c>
      <c r="K261" s="36" t="s">
        <v>23</v>
      </c>
      <c r="L261"/>
      <c r="M261"/>
      <c r="N261"/>
      <c r="O261"/>
      <c r="P261"/>
      <c r="S261" s="3"/>
      <c r="V261" s="2"/>
    </row>
    <row r="262" spans="1:22" ht="22.5" customHeight="1" x14ac:dyDescent="0.25">
      <c r="A262" s="8">
        <f t="shared" si="8"/>
        <v>261</v>
      </c>
      <c r="B262" s="24" t="s">
        <v>113</v>
      </c>
      <c r="C262" s="27">
        <v>42990</v>
      </c>
      <c r="D262" s="45">
        <f t="shared" ca="1" si="9"/>
        <v>8</v>
      </c>
      <c r="E262" s="4">
        <v>25</v>
      </c>
      <c r="F262" s="4" t="s">
        <v>25</v>
      </c>
      <c r="G262" s="4" t="s">
        <v>39</v>
      </c>
      <c r="H262" s="4" t="s">
        <v>21</v>
      </c>
      <c r="I262" s="44" t="s">
        <v>622</v>
      </c>
      <c r="J262" s="5" t="s">
        <v>22</v>
      </c>
      <c r="K262" s="36" t="s">
        <v>23</v>
      </c>
      <c r="L262"/>
      <c r="M262"/>
      <c r="N262"/>
      <c r="O262"/>
      <c r="P262"/>
      <c r="S262" s="3"/>
      <c r="V262" s="2"/>
    </row>
    <row r="263" spans="1:22" ht="22.5" customHeight="1" x14ac:dyDescent="0.25">
      <c r="A263" s="8">
        <f t="shared" si="8"/>
        <v>262</v>
      </c>
      <c r="B263" s="24" t="s">
        <v>114</v>
      </c>
      <c r="C263" s="27">
        <v>42779</v>
      </c>
      <c r="D263" s="45">
        <f t="shared" ca="1" si="9"/>
        <v>9</v>
      </c>
      <c r="E263" s="4">
        <v>25</v>
      </c>
      <c r="F263" s="4" t="s">
        <v>25</v>
      </c>
      <c r="G263" s="4" t="s">
        <v>42</v>
      </c>
      <c r="H263" s="4" t="s">
        <v>21</v>
      </c>
      <c r="I263" s="44" t="s">
        <v>620</v>
      </c>
      <c r="J263" s="5" t="s">
        <v>22</v>
      </c>
      <c r="K263" s="36" t="s">
        <v>23</v>
      </c>
      <c r="L263"/>
      <c r="M263"/>
      <c r="N263"/>
      <c r="O263"/>
      <c r="P263"/>
      <c r="S263" s="3"/>
      <c r="V263" s="2"/>
    </row>
    <row r="264" spans="1:22" ht="22.5" customHeight="1" x14ac:dyDescent="0.25">
      <c r="A264" s="8">
        <f t="shared" si="8"/>
        <v>263</v>
      </c>
      <c r="B264" s="24" t="s">
        <v>141</v>
      </c>
      <c r="C264" s="27">
        <v>43077</v>
      </c>
      <c r="D264" s="45">
        <f t="shared" ca="1" si="9"/>
        <v>8</v>
      </c>
      <c r="E264" s="4">
        <v>35</v>
      </c>
      <c r="F264" s="4" t="s">
        <v>25</v>
      </c>
      <c r="G264" s="4" t="s">
        <v>28</v>
      </c>
      <c r="H264" s="4" t="s">
        <v>21</v>
      </c>
      <c r="I264" s="44" t="s">
        <v>620</v>
      </c>
      <c r="J264" s="5" t="s">
        <v>22</v>
      </c>
      <c r="K264" s="36" t="s">
        <v>23</v>
      </c>
      <c r="L264"/>
      <c r="M264"/>
      <c r="N264"/>
      <c r="O264"/>
      <c r="P264"/>
      <c r="S264" s="3"/>
      <c r="V264" s="2"/>
    </row>
    <row r="265" spans="1:22" ht="22.5" customHeight="1" x14ac:dyDescent="0.25">
      <c r="A265" s="8">
        <f t="shared" si="8"/>
        <v>264</v>
      </c>
      <c r="B265" s="24" t="s">
        <v>109</v>
      </c>
      <c r="C265" s="27">
        <v>43020</v>
      </c>
      <c r="D265" s="45">
        <f t="shared" ca="1" si="9"/>
        <v>8</v>
      </c>
      <c r="E265" s="4">
        <v>41</v>
      </c>
      <c r="F265" s="4" t="s">
        <v>25</v>
      </c>
      <c r="G265" s="4" t="s">
        <v>39</v>
      </c>
      <c r="H265" s="4" t="s">
        <v>21</v>
      </c>
      <c r="I265" s="44" t="s">
        <v>621</v>
      </c>
      <c r="J265" s="5" t="s">
        <v>22</v>
      </c>
      <c r="K265" s="36" t="s">
        <v>23</v>
      </c>
      <c r="L265"/>
      <c r="M265"/>
      <c r="N265"/>
      <c r="O265"/>
      <c r="P265"/>
      <c r="S265" s="3"/>
      <c r="V265" s="2"/>
    </row>
    <row r="266" spans="1:22" ht="22.5" customHeight="1" x14ac:dyDescent="0.25">
      <c r="A266" s="8">
        <f t="shared" si="8"/>
        <v>265</v>
      </c>
      <c r="B266" s="24" t="s">
        <v>104</v>
      </c>
      <c r="C266" s="27">
        <v>43075</v>
      </c>
      <c r="D266" s="45">
        <f t="shared" ca="1" si="9"/>
        <v>8</v>
      </c>
      <c r="E266" s="4">
        <v>35</v>
      </c>
      <c r="F266" s="4" t="s">
        <v>19</v>
      </c>
      <c r="G266" s="4" t="s">
        <v>42</v>
      </c>
      <c r="H266" s="4" t="s">
        <v>21</v>
      </c>
      <c r="I266" s="44" t="s">
        <v>621</v>
      </c>
      <c r="J266" s="5" t="s">
        <v>22</v>
      </c>
      <c r="K266" s="36" t="s">
        <v>23</v>
      </c>
      <c r="L266"/>
      <c r="M266"/>
      <c r="N266"/>
      <c r="O266"/>
      <c r="P266"/>
      <c r="S266" s="3"/>
      <c r="V266" s="2"/>
    </row>
    <row r="267" spans="1:22" ht="22.5" customHeight="1" x14ac:dyDescent="0.25">
      <c r="A267" s="8">
        <f t="shared" si="8"/>
        <v>266</v>
      </c>
      <c r="B267" s="24" t="s">
        <v>88</v>
      </c>
      <c r="C267" s="27">
        <v>42852</v>
      </c>
      <c r="D267" s="45">
        <f t="shared" ca="1" si="9"/>
        <v>8</v>
      </c>
      <c r="E267" s="4">
        <v>36</v>
      </c>
      <c r="F267" s="4" t="s">
        <v>19</v>
      </c>
      <c r="G267" s="4" t="s">
        <v>50</v>
      </c>
      <c r="H267" s="4" t="s">
        <v>45</v>
      </c>
      <c r="I267" s="44" t="s">
        <v>620</v>
      </c>
      <c r="J267" s="5" t="s">
        <v>22</v>
      </c>
      <c r="K267" s="36" t="s">
        <v>23</v>
      </c>
      <c r="L267"/>
      <c r="M267"/>
      <c r="N267"/>
      <c r="O267"/>
      <c r="P267"/>
      <c r="S267" s="3"/>
      <c r="V267" s="2"/>
    </row>
    <row r="268" spans="1:22" ht="22.5" customHeight="1" x14ac:dyDescent="0.25">
      <c r="A268" s="8">
        <f t="shared" si="8"/>
        <v>267</v>
      </c>
      <c r="B268" s="24" t="s">
        <v>75</v>
      </c>
      <c r="C268" s="27">
        <v>42925</v>
      </c>
      <c r="D268" s="45">
        <f t="shared" ca="1" si="9"/>
        <v>8</v>
      </c>
      <c r="E268" s="4">
        <v>42</v>
      </c>
      <c r="F268" s="4" t="s">
        <v>19</v>
      </c>
      <c r="G268" s="4" t="s">
        <v>50</v>
      </c>
      <c r="H268" s="4" t="s">
        <v>21</v>
      </c>
      <c r="I268" s="44" t="s">
        <v>622</v>
      </c>
      <c r="J268" s="5" t="s">
        <v>22</v>
      </c>
      <c r="K268" s="36" t="s">
        <v>23</v>
      </c>
      <c r="L268"/>
      <c r="M268"/>
      <c r="N268"/>
      <c r="O268"/>
      <c r="P268"/>
      <c r="S268" s="3"/>
      <c r="V268" s="2"/>
    </row>
    <row r="269" spans="1:22" ht="22.5" customHeight="1" x14ac:dyDescent="0.25">
      <c r="A269" s="8">
        <f t="shared" si="8"/>
        <v>268</v>
      </c>
      <c r="B269" s="24" t="s">
        <v>80</v>
      </c>
      <c r="C269" s="27">
        <v>42366</v>
      </c>
      <c r="D269" s="45">
        <f t="shared" ca="1" si="9"/>
        <v>10</v>
      </c>
      <c r="E269" s="4">
        <v>25</v>
      </c>
      <c r="F269" s="4" t="s">
        <v>25</v>
      </c>
      <c r="G269" s="4" t="s">
        <v>34</v>
      </c>
      <c r="H269" s="4" t="s">
        <v>21</v>
      </c>
      <c r="I269" s="44" t="s">
        <v>621</v>
      </c>
      <c r="J269" s="5" t="s">
        <v>22</v>
      </c>
      <c r="K269" s="36" t="s">
        <v>23</v>
      </c>
      <c r="L269"/>
      <c r="M269"/>
      <c r="N269"/>
      <c r="O269"/>
      <c r="P269"/>
      <c r="S269" s="3"/>
      <c r="V269" s="2"/>
    </row>
    <row r="270" spans="1:22" ht="22.5" customHeight="1" x14ac:dyDescent="0.25">
      <c r="A270" s="8">
        <f t="shared" si="8"/>
        <v>269</v>
      </c>
      <c r="B270" s="24" t="s">
        <v>182</v>
      </c>
      <c r="C270" s="27">
        <v>42712</v>
      </c>
      <c r="D270" s="45">
        <f t="shared" ca="1" si="9"/>
        <v>9</v>
      </c>
      <c r="E270" s="4">
        <v>25</v>
      </c>
      <c r="F270" s="4" t="s">
        <v>25</v>
      </c>
      <c r="G270" s="4" t="s">
        <v>50</v>
      </c>
      <c r="H270" s="4" t="s">
        <v>21</v>
      </c>
      <c r="I270" s="44" t="s">
        <v>622</v>
      </c>
      <c r="J270" s="5" t="s">
        <v>22</v>
      </c>
      <c r="K270" s="36" t="s">
        <v>23</v>
      </c>
      <c r="L270"/>
      <c r="M270"/>
      <c r="N270"/>
      <c r="O270"/>
      <c r="P270"/>
      <c r="S270" s="3"/>
      <c r="V270" s="2"/>
    </row>
    <row r="271" spans="1:22" ht="22.5" customHeight="1" x14ac:dyDescent="0.25">
      <c r="A271" s="8">
        <f t="shared" si="8"/>
        <v>270</v>
      </c>
      <c r="B271" s="24" t="s">
        <v>102</v>
      </c>
      <c r="C271" s="27">
        <v>42684</v>
      </c>
      <c r="D271" s="45">
        <f t="shared" ca="1" si="9"/>
        <v>9</v>
      </c>
      <c r="E271" s="4">
        <v>20</v>
      </c>
      <c r="F271" s="4" t="s">
        <v>19</v>
      </c>
      <c r="G271" s="4" t="s">
        <v>28</v>
      </c>
      <c r="H271" s="4" t="s">
        <v>21</v>
      </c>
      <c r="I271" s="44" t="s">
        <v>622</v>
      </c>
      <c r="J271" s="5" t="s">
        <v>22</v>
      </c>
      <c r="K271" s="36" t="s">
        <v>23</v>
      </c>
      <c r="L271"/>
      <c r="M271"/>
      <c r="N271"/>
      <c r="O271"/>
      <c r="P271"/>
      <c r="S271" s="3"/>
      <c r="V271" s="2"/>
    </row>
    <row r="272" spans="1:22" ht="22.5" customHeight="1" x14ac:dyDescent="0.25">
      <c r="A272" s="8">
        <f t="shared" si="8"/>
        <v>271</v>
      </c>
      <c r="B272" s="24" t="s">
        <v>55</v>
      </c>
      <c r="C272" s="27">
        <v>42654</v>
      </c>
      <c r="D272" s="45">
        <f t="shared" ca="1" si="9"/>
        <v>9</v>
      </c>
      <c r="E272" s="4">
        <v>29</v>
      </c>
      <c r="F272" s="4" t="s">
        <v>19</v>
      </c>
      <c r="G272" s="4" t="s">
        <v>28</v>
      </c>
      <c r="H272" s="4" t="s">
        <v>21</v>
      </c>
      <c r="I272" s="44" t="s">
        <v>620</v>
      </c>
      <c r="J272" s="5" t="s">
        <v>22</v>
      </c>
      <c r="K272" s="36" t="s">
        <v>23</v>
      </c>
      <c r="L272"/>
      <c r="M272"/>
      <c r="N272"/>
      <c r="O272"/>
      <c r="P272"/>
      <c r="S272" s="3"/>
      <c r="V272" s="2"/>
    </row>
    <row r="273" spans="1:31" ht="22.5" customHeight="1" x14ac:dyDescent="0.25">
      <c r="A273" s="8">
        <f t="shared" si="8"/>
        <v>272</v>
      </c>
      <c r="B273" s="24" t="s">
        <v>115</v>
      </c>
      <c r="C273" s="27">
        <v>42423</v>
      </c>
      <c r="D273" s="45">
        <f t="shared" ca="1" si="9"/>
        <v>10</v>
      </c>
      <c r="E273" s="4">
        <v>30</v>
      </c>
      <c r="F273" s="4" t="s">
        <v>19</v>
      </c>
      <c r="G273" s="4" t="s">
        <v>42</v>
      </c>
      <c r="H273" s="4" t="s">
        <v>21</v>
      </c>
      <c r="I273" s="44" t="s">
        <v>620</v>
      </c>
      <c r="J273" s="5" t="s">
        <v>22</v>
      </c>
      <c r="K273" s="36" t="s">
        <v>23</v>
      </c>
      <c r="L273"/>
      <c r="M273"/>
      <c r="N273"/>
      <c r="O273"/>
      <c r="P273"/>
      <c r="S273" s="3"/>
      <c r="V273" s="2"/>
    </row>
    <row r="274" spans="1:31" ht="22.5" customHeight="1" x14ac:dyDescent="0.25">
      <c r="A274" s="8">
        <f t="shared" si="8"/>
        <v>273</v>
      </c>
      <c r="B274" s="24" t="s">
        <v>18</v>
      </c>
      <c r="C274" s="27">
        <v>42670</v>
      </c>
      <c r="D274" s="45">
        <f t="shared" ca="1" si="9"/>
        <v>9</v>
      </c>
      <c r="E274" s="4">
        <v>32</v>
      </c>
      <c r="F274" s="4" t="s">
        <v>19</v>
      </c>
      <c r="G274" s="4" t="s">
        <v>20</v>
      </c>
      <c r="H274" s="4" t="s">
        <v>21</v>
      </c>
      <c r="I274" s="44" t="s">
        <v>621</v>
      </c>
      <c r="J274" s="5" t="s">
        <v>22</v>
      </c>
      <c r="K274" s="36" t="s">
        <v>23</v>
      </c>
      <c r="L274"/>
      <c r="M274"/>
      <c r="N274"/>
      <c r="O274"/>
      <c r="P274"/>
      <c r="S274" s="3"/>
      <c r="V274" s="2"/>
    </row>
    <row r="275" spans="1:31" ht="22.5" customHeight="1" x14ac:dyDescent="0.25">
      <c r="A275" s="8">
        <f t="shared" si="8"/>
        <v>274</v>
      </c>
      <c r="B275" s="24" t="s">
        <v>78</v>
      </c>
      <c r="C275" s="27">
        <v>42615</v>
      </c>
      <c r="D275" s="45">
        <f t="shared" ca="1" si="9"/>
        <v>9</v>
      </c>
      <c r="E275" s="4">
        <v>34</v>
      </c>
      <c r="F275" s="4" t="s">
        <v>19</v>
      </c>
      <c r="G275" s="4" t="s">
        <v>50</v>
      </c>
      <c r="H275" s="4" t="s">
        <v>21</v>
      </c>
      <c r="I275" s="44" t="s">
        <v>621</v>
      </c>
      <c r="J275" s="5" t="s">
        <v>22</v>
      </c>
      <c r="K275" s="36" t="s">
        <v>23</v>
      </c>
      <c r="L275"/>
      <c r="M275"/>
      <c r="N275"/>
      <c r="O275"/>
      <c r="P275"/>
      <c r="S275" s="3"/>
      <c r="V275" s="2"/>
    </row>
    <row r="276" spans="1:31" ht="22.5" customHeight="1" x14ac:dyDescent="0.25">
      <c r="A276" s="8">
        <f t="shared" si="8"/>
        <v>275</v>
      </c>
      <c r="B276" s="24" t="s">
        <v>105</v>
      </c>
      <c r="C276" s="27">
        <v>42391</v>
      </c>
      <c r="D276" s="45">
        <f t="shared" ca="1" si="9"/>
        <v>10</v>
      </c>
      <c r="E276" s="4">
        <v>38</v>
      </c>
      <c r="F276" s="4" t="s">
        <v>19</v>
      </c>
      <c r="G276" s="4" t="s">
        <v>20</v>
      </c>
      <c r="H276" s="4" t="s">
        <v>21</v>
      </c>
      <c r="I276" s="44" t="s">
        <v>620</v>
      </c>
      <c r="J276" s="5" t="s">
        <v>22</v>
      </c>
      <c r="K276" s="36" t="s">
        <v>23</v>
      </c>
      <c r="L276"/>
      <c r="M276"/>
      <c r="N276"/>
      <c r="O276"/>
      <c r="P276"/>
      <c r="S276" s="3"/>
      <c r="V276" s="2"/>
    </row>
    <row r="277" spans="1:31" ht="22.5" customHeight="1" x14ac:dyDescent="0.25">
      <c r="A277" s="8">
        <f t="shared" si="8"/>
        <v>276</v>
      </c>
      <c r="B277" s="24" t="s">
        <v>106</v>
      </c>
      <c r="C277" s="27">
        <v>42413</v>
      </c>
      <c r="D277" s="45">
        <f t="shared" ca="1" si="9"/>
        <v>10</v>
      </c>
      <c r="E277" s="4">
        <v>40</v>
      </c>
      <c r="F277" s="4" t="s">
        <v>19</v>
      </c>
      <c r="G277" s="4" t="s">
        <v>42</v>
      </c>
      <c r="H277" s="4" t="s">
        <v>21</v>
      </c>
      <c r="I277" s="44" t="s">
        <v>622</v>
      </c>
      <c r="J277" s="5" t="s">
        <v>22</v>
      </c>
      <c r="K277" s="36" t="s">
        <v>23</v>
      </c>
      <c r="L277"/>
      <c r="M277"/>
      <c r="N277"/>
      <c r="O277"/>
      <c r="P277"/>
      <c r="S277" s="3"/>
      <c r="V277" s="2"/>
    </row>
    <row r="278" spans="1:31" ht="22.5" customHeight="1" x14ac:dyDescent="0.25">
      <c r="A278" s="8">
        <f t="shared" si="8"/>
        <v>277</v>
      </c>
      <c r="B278" s="24" t="s">
        <v>47</v>
      </c>
      <c r="C278" s="27">
        <v>42285</v>
      </c>
      <c r="D278" s="45">
        <f t="shared" ca="1" si="9"/>
        <v>10</v>
      </c>
      <c r="E278" s="4">
        <v>23</v>
      </c>
      <c r="F278" s="4" t="s">
        <v>25</v>
      </c>
      <c r="G278" s="4" t="s">
        <v>42</v>
      </c>
      <c r="H278" s="4" t="s">
        <v>21</v>
      </c>
      <c r="I278" s="44" t="s">
        <v>621</v>
      </c>
      <c r="J278" s="5" t="s">
        <v>22</v>
      </c>
      <c r="K278" s="36" t="s">
        <v>23</v>
      </c>
      <c r="L278"/>
      <c r="M278"/>
      <c r="N278"/>
      <c r="O278"/>
      <c r="P278"/>
      <c r="S278" s="3"/>
      <c r="V278" s="2"/>
    </row>
    <row r="279" spans="1:31" ht="22.5" customHeight="1" x14ac:dyDescent="0.25">
      <c r="A279" s="8">
        <f t="shared" si="8"/>
        <v>278</v>
      </c>
      <c r="B279" s="24" t="s">
        <v>81</v>
      </c>
      <c r="C279" s="27">
        <v>42257</v>
      </c>
      <c r="D279" s="45">
        <f t="shared" ca="1" si="9"/>
        <v>10</v>
      </c>
      <c r="E279" s="4">
        <v>30</v>
      </c>
      <c r="F279" s="4" t="s">
        <v>25</v>
      </c>
      <c r="G279" s="4" t="s">
        <v>42</v>
      </c>
      <c r="H279" s="4" t="s">
        <v>45</v>
      </c>
      <c r="I279" s="44" t="s">
        <v>622</v>
      </c>
      <c r="J279" s="5" t="s">
        <v>22</v>
      </c>
      <c r="K279" s="36" t="s">
        <v>23</v>
      </c>
      <c r="L279"/>
      <c r="M279"/>
      <c r="N279"/>
      <c r="O279"/>
      <c r="P279"/>
      <c r="S279" s="3"/>
      <c r="V279" s="2"/>
    </row>
    <row r="280" spans="1:31" ht="22.5" customHeight="1" x14ac:dyDescent="0.25">
      <c r="A280" s="8">
        <f t="shared" si="8"/>
        <v>279</v>
      </c>
      <c r="B280" s="24" t="s">
        <v>83</v>
      </c>
      <c r="C280" s="27">
        <v>42089</v>
      </c>
      <c r="D280" s="45">
        <f t="shared" ca="1" si="9"/>
        <v>10</v>
      </c>
      <c r="E280" s="4">
        <v>32</v>
      </c>
      <c r="F280" s="4" t="s">
        <v>25</v>
      </c>
      <c r="G280" s="4" t="s">
        <v>50</v>
      </c>
      <c r="H280" s="4" t="s">
        <v>21</v>
      </c>
      <c r="I280" s="44" t="s">
        <v>622</v>
      </c>
      <c r="J280" s="5" t="s">
        <v>22</v>
      </c>
      <c r="K280" s="36" t="s">
        <v>23</v>
      </c>
      <c r="L280"/>
      <c r="M280"/>
      <c r="N280"/>
      <c r="O280"/>
      <c r="P280"/>
      <c r="S280" s="3"/>
      <c r="V280" s="2"/>
    </row>
    <row r="281" spans="1:31" ht="22.5" customHeight="1" x14ac:dyDescent="0.25">
      <c r="A281" s="8">
        <f t="shared" si="8"/>
        <v>280</v>
      </c>
      <c r="B281" s="24" t="s">
        <v>184</v>
      </c>
      <c r="C281" s="27">
        <v>42305</v>
      </c>
      <c r="D281" s="45">
        <f t="shared" ca="1" si="9"/>
        <v>10</v>
      </c>
      <c r="E281" s="4">
        <v>24</v>
      </c>
      <c r="F281" s="4" t="s">
        <v>19</v>
      </c>
      <c r="G281" s="4" t="s">
        <v>39</v>
      </c>
      <c r="H281" s="4" t="s">
        <v>21</v>
      </c>
      <c r="I281" s="44" t="s">
        <v>620</v>
      </c>
      <c r="J281" s="5" t="s">
        <v>22</v>
      </c>
      <c r="K281" s="36" t="s">
        <v>23</v>
      </c>
      <c r="L281"/>
      <c r="M281"/>
      <c r="N281"/>
      <c r="O281"/>
      <c r="P281"/>
      <c r="S281" s="3"/>
      <c r="V281" s="2"/>
    </row>
    <row r="282" spans="1:31" ht="22.5" customHeight="1" x14ac:dyDescent="0.25">
      <c r="A282" s="8">
        <f t="shared" si="8"/>
        <v>281</v>
      </c>
      <c r="B282" s="24" t="s">
        <v>67</v>
      </c>
      <c r="C282" s="27">
        <v>42039</v>
      </c>
      <c r="D282" s="45">
        <f t="shared" ca="1" si="9"/>
        <v>11</v>
      </c>
      <c r="E282" s="4">
        <v>41</v>
      </c>
      <c r="F282" s="4" t="s">
        <v>19</v>
      </c>
      <c r="G282" s="4" t="s">
        <v>34</v>
      </c>
      <c r="H282" s="4" t="s">
        <v>21</v>
      </c>
      <c r="I282" s="44" t="s">
        <v>620</v>
      </c>
      <c r="J282" s="5" t="s">
        <v>22</v>
      </c>
      <c r="K282" s="36" t="s">
        <v>23</v>
      </c>
      <c r="L282"/>
      <c r="M282"/>
      <c r="N282"/>
      <c r="O282"/>
      <c r="P282"/>
      <c r="S282" s="3"/>
      <c r="V282" s="2"/>
    </row>
    <row r="283" spans="1:31" ht="22.5" customHeight="1" x14ac:dyDescent="0.25">
      <c r="A283" s="8">
        <f t="shared" si="8"/>
        <v>282</v>
      </c>
      <c r="B283" s="24" t="s">
        <v>74</v>
      </c>
      <c r="C283" s="27">
        <v>42354</v>
      </c>
      <c r="D283" s="45">
        <f t="shared" ca="1" si="9"/>
        <v>10</v>
      </c>
      <c r="E283" s="4">
        <v>35</v>
      </c>
      <c r="F283" s="4" t="s">
        <v>19</v>
      </c>
      <c r="G283" s="4" t="s">
        <v>20</v>
      </c>
      <c r="H283" s="4" t="s">
        <v>51</v>
      </c>
      <c r="I283" s="44" t="s">
        <v>621</v>
      </c>
      <c r="J283" s="5" t="s">
        <v>22</v>
      </c>
      <c r="K283" s="36" t="s">
        <v>23</v>
      </c>
      <c r="L283"/>
      <c r="M283"/>
      <c r="N283"/>
      <c r="O283"/>
      <c r="P283"/>
      <c r="S283" s="3"/>
      <c r="V283" s="2"/>
    </row>
    <row r="284" spans="1:31" ht="22.5" customHeight="1" x14ac:dyDescent="0.25">
      <c r="A284" s="8">
        <f t="shared" si="8"/>
        <v>283</v>
      </c>
      <c r="B284" s="24" t="s">
        <v>72</v>
      </c>
      <c r="C284" s="27">
        <v>41822</v>
      </c>
      <c r="D284" s="45">
        <f t="shared" ca="1" si="9"/>
        <v>11</v>
      </c>
      <c r="E284" s="4">
        <v>30</v>
      </c>
      <c r="F284" s="4" t="s">
        <v>25</v>
      </c>
      <c r="G284" s="4" t="s">
        <v>39</v>
      </c>
      <c r="H284" s="4" t="s">
        <v>21</v>
      </c>
      <c r="I284" s="44" t="s">
        <v>621</v>
      </c>
      <c r="J284" s="5" t="s">
        <v>22</v>
      </c>
      <c r="K284" s="36" t="s">
        <v>23</v>
      </c>
      <c r="L284"/>
      <c r="M284"/>
      <c r="N284"/>
      <c r="O284"/>
      <c r="P284"/>
      <c r="S284" s="3"/>
      <c r="V284" s="2"/>
    </row>
    <row r="285" spans="1:31" ht="22.5" customHeight="1" x14ac:dyDescent="0.25">
      <c r="A285" s="8">
        <f t="shared" si="8"/>
        <v>284</v>
      </c>
      <c r="B285" s="24" t="s">
        <v>58</v>
      </c>
      <c r="C285" s="27">
        <v>41668</v>
      </c>
      <c r="D285" s="45">
        <f t="shared" ca="1" si="9"/>
        <v>12</v>
      </c>
      <c r="E285" s="4">
        <v>40</v>
      </c>
      <c r="F285" s="4" t="s">
        <v>25</v>
      </c>
      <c r="G285" s="4" t="s">
        <v>37</v>
      </c>
      <c r="H285" s="4" t="s">
        <v>21</v>
      </c>
      <c r="I285" s="44" t="s">
        <v>620</v>
      </c>
      <c r="J285" s="5" t="s">
        <v>22</v>
      </c>
      <c r="K285" s="37" t="s">
        <v>23</v>
      </c>
      <c r="L285"/>
      <c r="M285"/>
      <c r="N285"/>
      <c r="O285"/>
      <c r="P285"/>
      <c r="S285" s="3"/>
      <c r="V285" s="2"/>
    </row>
    <row r="286" spans="1:31" ht="22.5" customHeight="1" x14ac:dyDescent="0.25">
      <c r="A286" s="8">
        <f t="shared" si="8"/>
        <v>285</v>
      </c>
      <c r="B286" s="24" t="s">
        <v>76</v>
      </c>
      <c r="C286" s="27">
        <v>41662</v>
      </c>
      <c r="D286" s="45">
        <f t="shared" ca="1" si="9"/>
        <v>12</v>
      </c>
      <c r="E286" s="4">
        <v>40</v>
      </c>
      <c r="F286" s="4" t="s">
        <v>25</v>
      </c>
      <c r="G286" s="4" t="s">
        <v>37</v>
      </c>
      <c r="H286" s="4" t="s">
        <v>21</v>
      </c>
      <c r="I286" s="44" t="s">
        <v>622</v>
      </c>
      <c r="J286" s="5" t="s">
        <v>22</v>
      </c>
      <c r="K286" s="37" t="s">
        <v>23</v>
      </c>
      <c r="L286"/>
      <c r="M286"/>
      <c r="N286"/>
      <c r="O286"/>
      <c r="P286"/>
      <c r="S286" s="3"/>
      <c r="V286" s="2"/>
    </row>
    <row r="287" spans="1:31" ht="22.5" customHeight="1" x14ac:dyDescent="0.25">
      <c r="A287" s="8">
        <f t="shared" si="8"/>
        <v>286</v>
      </c>
      <c r="B287" s="24" t="s">
        <v>71</v>
      </c>
      <c r="C287" s="27">
        <v>41987</v>
      </c>
      <c r="D287" s="45">
        <f t="shared" ca="1" si="9"/>
        <v>11</v>
      </c>
      <c r="E287" s="4">
        <v>42</v>
      </c>
      <c r="F287" s="4" t="s">
        <v>25</v>
      </c>
      <c r="G287" s="4" t="s">
        <v>42</v>
      </c>
      <c r="H287" s="4" t="s">
        <v>21</v>
      </c>
      <c r="I287" s="44" t="s">
        <v>621</v>
      </c>
      <c r="J287" s="5" t="s">
        <v>22</v>
      </c>
      <c r="K287" s="37" t="s">
        <v>23</v>
      </c>
      <c r="L287" s="2"/>
      <c r="M287" s="2"/>
      <c r="N287" s="2"/>
      <c r="O287" s="2"/>
      <c r="P287" s="2"/>
      <c r="Q287" s="2"/>
      <c r="R287" s="2"/>
      <c r="S287" s="3"/>
      <c r="T287" s="2"/>
      <c r="U287" s="2"/>
      <c r="V287" s="2"/>
      <c r="W287" s="2"/>
      <c r="X287" s="2"/>
      <c r="Y287" s="2"/>
      <c r="Z287" s="2"/>
      <c r="AA287" s="2"/>
      <c r="AB287" s="2"/>
      <c r="AC287" s="2"/>
      <c r="AD287" s="2"/>
      <c r="AE287" s="2"/>
    </row>
    <row r="288" spans="1:31" ht="22.5" customHeight="1" x14ac:dyDescent="0.25">
      <c r="A288" s="8">
        <f t="shared" si="8"/>
        <v>287</v>
      </c>
      <c r="B288" s="24" t="s">
        <v>108</v>
      </c>
      <c r="C288" s="27">
        <v>41935</v>
      </c>
      <c r="D288" s="45">
        <f t="shared" ca="1" si="9"/>
        <v>11</v>
      </c>
      <c r="E288" s="4">
        <v>45</v>
      </c>
      <c r="F288" s="4" t="s">
        <v>25</v>
      </c>
      <c r="G288" s="4" t="s">
        <v>32</v>
      </c>
      <c r="H288" s="4" t="s">
        <v>21</v>
      </c>
      <c r="I288" s="44" t="s">
        <v>622</v>
      </c>
      <c r="J288" s="5" t="s">
        <v>22</v>
      </c>
      <c r="K288" s="36" t="s">
        <v>23</v>
      </c>
      <c r="L288" s="2"/>
      <c r="M288" s="2"/>
      <c r="N288" s="2"/>
      <c r="O288" s="2"/>
      <c r="P288" s="2"/>
      <c r="Q288" s="2"/>
      <c r="R288" s="2"/>
      <c r="S288" s="3"/>
      <c r="T288" s="2"/>
      <c r="U288" s="2"/>
      <c r="V288" s="2"/>
      <c r="W288" s="2"/>
      <c r="X288" s="2"/>
      <c r="Y288" s="2"/>
      <c r="Z288" s="2"/>
      <c r="AA288" s="2"/>
      <c r="AB288" s="2"/>
      <c r="AC288" s="2"/>
      <c r="AD288" s="2"/>
      <c r="AE288" s="2"/>
    </row>
    <row r="289" spans="1:31" ht="22.5" customHeight="1" x14ac:dyDescent="0.25">
      <c r="A289" s="8">
        <f t="shared" si="8"/>
        <v>288</v>
      </c>
      <c r="B289" s="24" t="s">
        <v>48</v>
      </c>
      <c r="C289" s="27">
        <v>41640</v>
      </c>
      <c r="D289" s="45">
        <f t="shared" ca="1" si="9"/>
        <v>12</v>
      </c>
      <c r="E289" s="4">
        <v>24</v>
      </c>
      <c r="F289" s="4" t="s">
        <v>19</v>
      </c>
      <c r="G289" s="4" t="s">
        <v>32</v>
      </c>
      <c r="H289" s="4" t="s">
        <v>21</v>
      </c>
      <c r="I289" s="44" t="s">
        <v>622</v>
      </c>
      <c r="J289" s="5" t="s">
        <v>22</v>
      </c>
      <c r="K289" s="36" t="s">
        <v>23</v>
      </c>
      <c r="L289" s="2"/>
      <c r="M289" s="2"/>
      <c r="N289" s="2"/>
      <c r="O289" s="2"/>
      <c r="P289" s="2"/>
      <c r="Q289" s="2"/>
      <c r="R289" s="2"/>
      <c r="S289" s="3"/>
      <c r="T289" s="2"/>
      <c r="U289" s="2"/>
      <c r="V289" s="2"/>
      <c r="W289" s="2"/>
      <c r="X289" s="2"/>
      <c r="Y289" s="2"/>
      <c r="Z289" s="2"/>
      <c r="AA289" s="2"/>
      <c r="AB289" s="2"/>
      <c r="AC289" s="2"/>
      <c r="AD289" s="2"/>
      <c r="AE289" s="2"/>
    </row>
    <row r="290" spans="1:31" ht="22.5" customHeight="1" x14ac:dyDescent="0.25">
      <c r="A290" s="8">
        <f t="shared" si="8"/>
        <v>289</v>
      </c>
      <c r="B290" s="24" t="s">
        <v>65</v>
      </c>
      <c r="C290" s="27">
        <v>41722</v>
      </c>
      <c r="D290" s="45">
        <f t="shared" ca="1" si="9"/>
        <v>12</v>
      </c>
      <c r="E290" s="4">
        <v>30</v>
      </c>
      <c r="F290" s="4" t="s">
        <v>19</v>
      </c>
      <c r="G290" s="4" t="s">
        <v>28</v>
      </c>
      <c r="H290" s="4" t="s">
        <v>21</v>
      </c>
      <c r="I290" s="44" t="s">
        <v>620</v>
      </c>
      <c r="J290" s="5" t="s">
        <v>22</v>
      </c>
      <c r="K290" s="36" t="s">
        <v>23</v>
      </c>
      <c r="L290" s="2"/>
      <c r="M290" s="2"/>
      <c r="N290" s="2"/>
      <c r="O290" s="2"/>
      <c r="P290" s="2"/>
      <c r="Q290" s="2"/>
      <c r="R290" s="2"/>
      <c r="S290" s="2"/>
      <c r="T290" s="2"/>
      <c r="U290" s="2"/>
      <c r="V290" s="2"/>
      <c r="W290" s="2"/>
      <c r="X290" s="2"/>
      <c r="Y290" s="2"/>
      <c r="Z290" s="2"/>
      <c r="AA290" s="2"/>
      <c r="AB290" s="2"/>
      <c r="AC290" s="2"/>
      <c r="AD290" s="2"/>
      <c r="AE290" s="2"/>
    </row>
    <row r="291" spans="1:31" ht="22.5" customHeight="1" x14ac:dyDescent="0.25">
      <c r="A291" s="8">
        <f t="shared" si="8"/>
        <v>290</v>
      </c>
      <c r="B291" s="24" t="s">
        <v>103</v>
      </c>
      <c r="C291" s="27">
        <v>41838</v>
      </c>
      <c r="D291" s="45">
        <f t="shared" ca="1" si="9"/>
        <v>11</v>
      </c>
      <c r="E291" s="4">
        <v>36</v>
      </c>
      <c r="F291" s="4" t="s">
        <v>19</v>
      </c>
      <c r="G291" s="4" t="s">
        <v>34</v>
      </c>
      <c r="H291" s="4" t="s">
        <v>21</v>
      </c>
      <c r="I291" s="44" t="s">
        <v>620</v>
      </c>
      <c r="J291" s="5" t="s">
        <v>22</v>
      </c>
      <c r="K291" s="36" t="s">
        <v>23</v>
      </c>
      <c r="L291"/>
      <c r="M291"/>
      <c r="N291"/>
      <c r="O291"/>
      <c r="P291"/>
      <c r="V291" s="2"/>
    </row>
    <row r="292" spans="1:31" ht="22.5" customHeight="1" x14ac:dyDescent="0.25">
      <c r="A292" s="8">
        <f t="shared" si="8"/>
        <v>291</v>
      </c>
      <c r="B292" s="24" t="s">
        <v>85</v>
      </c>
      <c r="C292" s="27">
        <v>41544</v>
      </c>
      <c r="D292" s="45">
        <f t="shared" ca="1" si="9"/>
        <v>12</v>
      </c>
      <c r="E292" s="4">
        <v>41</v>
      </c>
      <c r="F292" s="4" t="s">
        <v>25</v>
      </c>
      <c r="G292" s="4" t="s">
        <v>86</v>
      </c>
      <c r="H292" s="4" t="s">
        <v>21</v>
      </c>
      <c r="I292" s="44" t="s">
        <v>621</v>
      </c>
      <c r="J292" s="5" t="s">
        <v>22</v>
      </c>
      <c r="K292" s="36" t="s">
        <v>23</v>
      </c>
      <c r="L292"/>
      <c r="M292"/>
      <c r="N292"/>
      <c r="O292"/>
      <c r="P292"/>
      <c r="V292" s="2"/>
    </row>
    <row r="293" spans="1:31" ht="22.5" customHeight="1" x14ac:dyDescent="0.25">
      <c r="A293" s="8">
        <f t="shared" si="8"/>
        <v>292</v>
      </c>
      <c r="B293" s="24" t="s">
        <v>87</v>
      </c>
      <c r="C293" s="27">
        <v>41453</v>
      </c>
      <c r="D293" s="45">
        <f t="shared" ca="1" si="9"/>
        <v>12</v>
      </c>
      <c r="E293" s="4">
        <v>35</v>
      </c>
      <c r="F293" s="4" t="s">
        <v>19</v>
      </c>
      <c r="G293" s="4" t="s">
        <v>61</v>
      </c>
      <c r="H293" s="4" t="s">
        <v>21</v>
      </c>
      <c r="I293" s="44" t="s">
        <v>621</v>
      </c>
      <c r="J293" s="5" t="s">
        <v>22</v>
      </c>
      <c r="K293" s="36" t="s">
        <v>23</v>
      </c>
      <c r="L293"/>
      <c r="M293"/>
      <c r="N293"/>
      <c r="O293"/>
      <c r="P293"/>
      <c r="V293" s="2"/>
    </row>
    <row r="294" spans="1:31" ht="22.5" customHeight="1" x14ac:dyDescent="0.25">
      <c r="A294" s="8">
        <f t="shared" si="8"/>
        <v>293</v>
      </c>
      <c r="B294" s="24" t="s">
        <v>77</v>
      </c>
      <c r="C294" s="27">
        <v>41573</v>
      </c>
      <c r="D294" s="45">
        <f t="shared" ca="1" si="9"/>
        <v>12</v>
      </c>
      <c r="E294" s="4">
        <v>40</v>
      </c>
      <c r="F294" s="4" t="s">
        <v>19</v>
      </c>
      <c r="G294" s="4" t="s">
        <v>39</v>
      </c>
      <c r="H294" s="4" t="s">
        <v>21</v>
      </c>
      <c r="I294" s="44" t="s">
        <v>620</v>
      </c>
      <c r="J294" s="5" t="s">
        <v>22</v>
      </c>
      <c r="K294" s="36" t="s">
        <v>23</v>
      </c>
      <c r="L294"/>
      <c r="M294"/>
      <c r="N294"/>
      <c r="O294"/>
      <c r="P294"/>
      <c r="V294" s="2"/>
    </row>
    <row r="295" spans="1:31" ht="22.5" customHeight="1" x14ac:dyDescent="0.25">
      <c r="A295" s="8">
        <f t="shared" si="8"/>
        <v>294</v>
      </c>
      <c r="B295" s="24" t="s">
        <v>68</v>
      </c>
      <c r="C295" s="27">
        <v>41612</v>
      </c>
      <c r="D295" s="45">
        <f t="shared" ca="1" si="9"/>
        <v>12</v>
      </c>
      <c r="E295" s="4">
        <v>40</v>
      </c>
      <c r="F295" s="4" t="s">
        <v>19</v>
      </c>
      <c r="G295" s="4" t="s">
        <v>42</v>
      </c>
      <c r="H295" s="4" t="s">
        <v>21</v>
      </c>
      <c r="I295" s="44" t="s">
        <v>622</v>
      </c>
      <c r="J295" s="5" t="s">
        <v>22</v>
      </c>
      <c r="K295" s="36" t="s">
        <v>23</v>
      </c>
      <c r="L295"/>
      <c r="M295"/>
      <c r="N295"/>
      <c r="O295"/>
      <c r="P295"/>
      <c r="V295" s="2"/>
    </row>
    <row r="296" spans="1:31" ht="22.5" customHeight="1" x14ac:dyDescent="0.25">
      <c r="A296" s="8">
        <f t="shared" si="8"/>
        <v>295</v>
      </c>
      <c r="B296" s="24" t="s">
        <v>100</v>
      </c>
      <c r="C296" s="27">
        <v>41042</v>
      </c>
      <c r="D296" s="45">
        <f t="shared" ca="1" si="9"/>
        <v>13</v>
      </c>
      <c r="E296" s="4">
        <v>44</v>
      </c>
      <c r="F296" s="4" t="s">
        <v>25</v>
      </c>
      <c r="G296" s="4" t="s">
        <v>42</v>
      </c>
      <c r="H296" s="4" t="s">
        <v>21</v>
      </c>
      <c r="I296" s="44" t="s">
        <v>621</v>
      </c>
      <c r="J296" s="5" t="s">
        <v>22</v>
      </c>
      <c r="K296" s="36" t="s">
        <v>23</v>
      </c>
      <c r="L296"/>
      <c r="M296"/>
      <c r="N296"/>
      <c r="O296"/>
      <c r="P296"/>
      <c r="V296" s="2"/>
    </row>
    <row r="297" spans="1:31" ht="22.5" customHeight="1" x14ac:dyDescent="0.25">
      <c r="A297" s="8">
        <f t="shared" si="8"/>
        <v>296</v>
      </c>
      <c r="B297" s="24" t="s">
        <v>240</v>
      </c>
      <c r="C297" s="27">
        <v>41162</v>
      </c>
      <c r="D297" s="45">
        <f t="shared" ca="1" si="9"/>
        <v>13</v>
      </c>
      <c r="E297" s="4">
        <v>44</v>
      </c>
      <c r="F297" s="4" t="s">
        <v>19</v>
      </c>
      <c r="G297" s="4" t="s">
        <v>32</v>
      </c>
      <c r="H297" s="4" t="s">
        <v>21</v>
      </c>
      <c r="I297" s="44" t="s">
        <v>622</v>
      </c>
      <c r="J297" s="5" t="s">
        <v>22</v>
      </c>
      <c r="K297" s="36" t="s">
        <v>23</v>
      </c>
      <c r="L297"/>
      <c r="M297"/>
      <c r="N297"/>
      <c r="O297"/>
      <c r="P297"/>
      <c r="V297" s="2"/>
    </row>
    <row r="298" spans="1:31" ht="22.5" customHeight="1" x14ac:dyDescent="0.25">
      <c r="A298" s="8">
        <f t="shared" si="8"/>
        <v>297</v>
      </c>
      <c r="B298" s="24" t="s">
        <v>69</v>
      </c>
      <c r="C298" s="27">
        <v>40772</v>
      </c>
      <c r="D298" s="45">
        <f t="shared" ca="1" si="9"/>
        <v>14</v>
      </c>
      <c r="E298" s="4">
        <v>44</v>
      </c>
      <c r="F298" s="4" t="s">
        <v>25</v>
      </c>
      <c r="G298" s="4" t="s">
        <v>37</v>
      </c>
      <c r="H298" s="4" t="s">
        <v>21</v>
      </c>
      <c r="I298" s="44" t="s">
        <v>622</v>
      </c>
      <c r="J298" s="5" t="s">
        <v>22</v>
      </c>
      <c r="K298" s="36" t="s">
        <v>23</v>
      </c>
      <c r="L298"/>
      <c r="M298"/>
      <c r="N298"/>
      <c r="O298"/>
      <c r="P298"/>
      <c r="V298" s="2"/>
    </row>
    <row r="299" spans="1:31" ht="22.5" customHeight="1" x14ac:dyDescent="0.25">
      <c r="A299" s="8">
        <f t="shared" si="8"/>
        <v>298</v>
      </c>
      <c r="B299" s="24" t="s">
        <v>59</v>
      </c>
      <c r="C299" s="27">
        <v>40534</v>
      </c>
      <c r="D299" s="45">
        <f t="shared" ca="1" si="9"/>
        <v>15</v>
      </c>
      <c r="E299" s="4">
        <v>40</v>
      </c>
      <c r="F299" s="4" t="s">
        <v>25</v>
      </c>
      <c r="G299" s="4" t="s">
        <v>37</v>
      </c>
      <c r="H299" s="4" t="s">
        <v>21</v>
      </c>
      <c r="I299" s="44" t="s">
        <v>620</v>
      </c>
      <c r="J299" s="5" t="s">
        <v>22</v>
      </c>
      <c r="K299" s="36" t="s">
        <v>23</v>
      </c>
      <c r="L299"/>
      <c r="M299"/>
      <c r="N299"/>
      <c r="O299"/>
      <c r="P299"/>
      <c r="V299" s="2"/>
    </row>
    <row r="300" spans="1:31" ht="22.5" customHeight="1" x14ac:dyDescent="0.25">
      <c r="A300" s="8">
        <f t="shared" si="8"/>
        <v>299</v>
      </c>
      <c r="B300" s="24" t="s">
        <v>70</v>
      </c>
      <c r="C300" s="27">
        <v>40357</v>
      </c>
      <c r="D300" s="45">
        <f t="shared" ca="1" si="9"/>
        <v>15</v>
      </c>
      <c r="E300" s="4">
        <v>65</v>
      </c>
      <c r="F300" s="4" t="s">
        <v>19</v>
      </c>
      <c r="G300" s="4" t="s">
        <v>34</v>
      </c>
      <c r="H300" s="4" t="s">
        <v>21</v>
      </c>
      <c r="I300" s="44" t="s">
        <v>620</v>
      </c>
      <c r="J300" s="5" t="s">
        <v>22</v>
      </c>
      <c r="K300" s="36" t="s">
        <v>23</v>
      </c>
      <c r="L300"/>
      <c r="M300"/>
      <c r="N300"/>
      <c r="O300"/>
      <c r="P300"/>
      <c r="V300" s="2"/>
    </row>
    <row r="301" spans="1:31" ht="22.5" customHeight="1" x14ac:dyDescent="0.25">
      <c r="A301" s="8">
        <f t="shared" si="8"/>
        <v>300</v>
      </c>
      <c r="B301" s="24" t="s">
        <v>107</v>
      </c>
      <c r="C301" s="27">
        <v>40047</v>
      </c>
      <c r="D301" s="45">
        <f t="shared" ca="1" si="9"/>
        <v>16</v>
      </c>
      <c r="E301" s="4">
        <v>50</v>
      </c>
      <c r="F301" s="4" t="s">
        <v>25</v>
      </c>
      <c r="G301" s="4" t="s">
        <v>20</v>
      </c>
      <c r="H301" s="4" t="s">
        <v>21</v>
      </c>
      <c r="I301" s="44" t="s">
        <v>621</v>
      </c>
      <c r="J301" s="5" t="s">
        <v>22</v>
      </c>
      <c r="K301" s="36" t="s">
        <v>23</v>
      </c>
      <c r="L301"/>
      <c r="M301"/>
      <c r="N301"/>
      <c r="O301"/>
      <c r="P301"/>
      <c r="V301" s="2"/>
    </row>
    <row r="302" spans="1:31" ht="22.5" customHeight="1" x14ac:dyDescent="0.25">
      <c r="A302" s="8">
        <f t="shared" si="8"/>
        <v>301</v>
      </c>
      <c r="B302" s="24" t="s">
        <v>33</v>
      </c>
      <c r="C302" s="27">
        <v>39695</v>
      </c>
      <c r="D302" s="45">
        <f t="shared" ca="1" si="9"/>
        <v>17</v>
      </c>
      <c r="E302" s="4">
        <v>49</v>
      </c>
      <c r="F302" s="4" t="s">
        <v>25</v>
      </c>
      <c r="G302" s="4" t="s">
        <v>34</v>
      </c>
      <c r="H302" s="4" t="s">
        <v>21</v>
      </c>
      <c r="I302" s="44" t="s">
        <v>621</v>
      </c>
      <c r="J302" s="5" t="s">
        <v>22</v>
      </c>
      <c r="K302" s="36" t="s">
        <v>23</v>
      </c>
      <c r="L302"/>
      <c r="M302"/>
      <c r="N302"/>
      <c r="O302"/>
      <c r="P302"/>
      <c r="V302" s="2"/>
    </row>
    <row r="303" spans="1:31" ht="22.5" customHeight="1" x14ac:dyDescent="0.25">
      <c r="A303" s="8">
        <f t="shared" si="8"/>
        <v>302</v>
      </c>
      <c r="B303" s="24" t="s">
        <v>111</v>
      </c>
      <c r="C303" s="27">
        <v>39542</v>
      </c>
      <c r="D303" s="45">
        <f t="shared" ca="1" si="9"/>
        <v>17</v>
      </c>
      <c r="E303" s="4">
        <v>44</v>
      </c>
      <c r="F303" s="4" t="s">
        <v>19</v>
      </c>
      <c r="G303" s="4" t="s">
        <v>20</v>
      </c>
      <c r="H303" s="4" t="s">
        <v>112</v>
      </c>
      <c r="I303" s="44" t="s">
        <v>620</v>
      </c>
      <c r="J303" s="5" t="s">
        <v>22</v>
      </c>
      <c r="K303" s="36" t="s">
        <v>23</v>
      </c>
      <c r="L303"/>
      <c r="M303"/>
      <c r="N303"/>
      <c r="O303"/>
      <c r="P303"/>
      <c r="V303" s="2"/>
    </row>
    <row r="304" spans="1:31" ht="22.5" customHeight="1" x14ac:dyDescent="0.25">
      <c r="A304" s="8">
        <f t="shared" si="8"/>
        <v>303</v>
      </c>
      <c r="B304" s="24" t="s">
        <v>63</v>
      </c>
      <c r="C304" s="27">
        <v>39704</v>
      </c>
      <c r="D304" s="45">
        <f t="shared" ca="1" si="9"/>
        <v>17</v>
      </c>
      <c r="E304" s="4">
        <v>52</v>
      </c>
      <c r="F304" s="4" t="s">
        <v>19</v>
      </c>
      <c r="G304" s="4" t="s">
        <v>26</v>
      </c>
      <c r="H304" s="4" t="s">
        <v>21</v>
      </c>
      <c r="I304" s="44" t="s">
        <v>622</v>
      </c>
      <c r="J304" s="5" t="s">
        <v>22</v>
      </c>
      <c r="K304" s="36" t="s">
        <v>23</v>
      </c>
      <c r="L304"/>
      <c r="M304"/>
      <c r="N304"/>
      <c r="O304"/>
      <c r="P304"/>
      <c r="V304" s="2"/>
    </row>
    <row r="305" spans="1:31" ht="22.5" customHeight="1" x14ac:dyDescent="0.25">
      <c r="A305" s="8">
        <f t="shared" si="8"/>
        <v>304</v>
      </c>
      <c r="B305" s="24" t="s">
        <v>89</v>
      </c>
      <c r="C305" s="27">
        <v>39759</v>
      </c>
      <c r="D305" s="45">
        <f t="shared" ca="1" si="9"/>
        <v>17</v>
      </c>
      <c r="E305" s="4">
        <v>55</v>
      </c>
      <c r="F305" s="4" t="s">
        <v>19</v>
      </c>
      <c r="G305" s="4" t="s">
        <v>61</v>
      </c>
      <c r="H305" s="4" t="s">
        <v>21</v>
      </c>
      <c r="I305" s="44" t="s">
        <v>621</v>
      </c>
      <c r="J305" s="5" t="s">
        <v>22</v>
      </c>
      <c r="K305" s="36" t="s">
        <v>23</v>
      </c>
      <c r="L305"/>
      <c r="M305"/>
      <c r="N305"/>
      <c r="O305"/>
      <c r="P305"/>
      <c r="V305" s="2"/>
    </row>
    <row r="306" spans="1:31" ht="22.5" customHeight="1" x14ac:dyDescent="0.25">
      <c r="A306" s="8">
        <f t="shared" si="8"/>
        <v>305</v>
      </c>
      <c r="B306" s="24" t="s">
        <v>73</v>
      </c>
      <c r="C306" s="27">
        <v>39824</v>
      </c>
      <c r="D306" s="45">
        <f t="shared" ca="1" si="9"/>
        <v>17</v>
      </c>
      <c r="E306" s="4">
        <v>66</v>
      </c>
      <c r="F306" s="4" t="s">
        <v>19</v>
      </c>
      <c r="G306" s="4" t="s">
        <v>61</v>
      </c>
      <c r="H306" s="4" t="s">
        <v>21</v>
      </c>
      <c r="I306" s="44" t="s">
        <v>622</v>
      </c>
      <c r="J306" s="5" t="s">
        <v>22</v>
      </c>
      <c r="K306" s="36" t="s">
        <v>23</v>
      </c>
      <c r="L306"/>
      <c r="M306"/>
      <c r="N306"/>
      <c r="O306"/>
      <c r="P306"/>
      <c r="V306" s="2"/>
    </row>
    <row r="307" spans="1:31" ht="22.5" customHeight="1" x14ac:dyDescent="0.25">
      <c r="A307" s="8">
        <f t="shared" si="8"/>
        <v>306</v>
      </c>
      <c r="B307" s="24" t="s">
        <v>64</v>
      </c>
      <c r="C307" s="27">
        <v>39732</v>
      </c>
      <c r="D307" s="45">
        <f t="shared" ca="1" si="9"/>
        <v>17</v>
      </c>
      <c r="E307" s="4">
        <v>59</v>
      </c>
      <c r="F307" s="4" t="s">
        <v>19</v>
      </c>
      <c r="G307" s="4" t="s">
        <v>26</v>
      </c>
      <c r="H307" s="4" t="s">
        <v>21</v>
      </c>
      <c r="I307" s="44" t="s">
        <v>622</v>
      </c>
      <c r="J307" s="5" t="s">
        <v>22</v>
      </c>
      <c r="K307" s="36" t="s">
        <v>23</v>
      </c>
      <c r="L307"/>
      <c r="M307"/>
      <c r="N307"/>
      <c r="O307"/>
      <c r="P307"/>
      <c r="V307" s="2"/>
    </row>
    <row r="308" spans="1:31" ht="22.5" customHeight="1" x14ac:dyDescent="0.25">
      <c r="A308" s="8">
        <f t="shared" si="8"/>
        <v>307</v>
      </c>
      <c r="B308" s="24" t="s">
        <v>30</v>
      </c>
      <c r="C308" s="27">
        <v>38080</v>
      </c>
      <c r="D308" s="45">
        <f t="shared" ca="1" si="9"/>
        <v>21</v>
      </c>
      <c r="E308" s="4">
        <v>45</v>
      </c>
      <c r="F308" s="4" t="s">
        <v>25</v>
      </c>
      <c r="G308" s="4" t="s">
        <v>26</v>
      </c>
      <c r="H308" s="4" t="s">
        <v>21</v>
      </c>
      <c r="I308" s="44" t="s">
        <v>620</v>
      </c>
      <c r="J308" s="5" t="s">
        <v>22</v>
      </c>
      <c r="K308" s="36" t="s">
        <v>23</v>
      </c>
      <c r="L308"/>
      <c r="M308"/>
      <c r="N308"/>
      <c r="O308"/>
      <c r="P308"/>
      <c r="V308" s="2"/>
    </row>
    <row r="309" spans="1:31" ht="22.5" customHeight="1" x14ac:dyDescent="0.25">
      <c r="A309" s="8">
        <f t="shared" si="8"/>
        <v>308</v>
      </c>
      <c r="B309" s="24" t="s">
        <v>31</v>
      </c>
      <c r="C309" s="27">
        <v>39109</v>
      </c>
      <c r="D309" s="45">
        <f t="shared" ca="1" si="9"/>
        <v>19</v>
      </c>
      <c r="E309" s="4">
        <v>59</v>
      </c>
      <c r="F309" s="4" t="s">
        <v>25</v>
      </c>
      <c r="G309" s="4" t="s">
        <v>32</v>
      </c>
      <c r="H309" s="4" t="s">
        <v>21</v>
      </c>
      <c r="I309" s="44" t="s">
        <v>620</v>
      </c>
      <c r="J309" s="5" t="s">
        <v>22</v>
      </c>
      <c r="K309" s="36" t="s">
        <v>23</v>
      </c>
      <c r="L309"/>
      <c r="M309"/>
      <c r="N309"/>
      <c r="O309"/>
      <c r="P309"/>
      <c r="V309" s="2"/>
    </row>
    <row r="310" spans="1:31" ht="22.5" customHeight="1" x14ac:dyDescent="0.25">
      <c r="A310" s="8">
        <f t="shared" si="8"/>
        <v>309</v>
      </c>
      <c r="B310" s="24" t="s">
        <v>24</v>
      </c>
      <c r="C310" s="27">
        <v>39433</v>
      </c>
      <c r="D310" s="45">
        <f t="shared" ca="1" si="9"/>
        <v>18</v>
      </c>
      <c r="E310" s="4">
        <v>97</v>
      </c>
      <c r="F310" s="4" t="s">
        <v>25</v>
      </c>
      <c r="G310" s="4" t="s">
        <v>26</v>
      </c>
      <c r="H310" s="4" t="s">
        <v>21</v>
      </c>
      <c r="I310" s="44" t="s">
        <v>621</v>
      </c>
      <c r="J310" s="5" t="s">
        <v>22</v>
      </c>
      <c r="K310" s="36" t="s">
        <v>23</v>
      </c>
      <c r="L310"/>
      <c r="M310"/>
      <c r="N310"/>
      <c r="O310"/>
      <c r="P310"/>
      <c r="V310" s="2"/>
    </row>
    <row r="311" spans="1:31" ht="22.5" customHeight="1" x14ac:dyDescent="0.25">
      <c r="A311" s="8">
        <f t="shared" si="8"/>
        <v>310</v>
      </c>
      <c r="B311" s="24" t="s">
        <v>56</v>
      </c>
      <c r="C311" s="27">
        <v>38706</v>
      </c>
      <c r="D311" s="45">
        <f t="shared" ca="1" si="9"/>
        <v>20</v>
      </c>
      <c r="E311" s="4">
        <v>48</v>
      </c>
      <c r="F311" s="4" t="s">
        <v>19</v>
      </c>
      <c r="G311" s="4" t="s">
        <v>34</v>
      </c>
      <c r="H311" s="4" t="s">
        <v>21</v>
      </c>
      <c r="I311" s="44" t="s">
        <v>621</v>
      </c>
      <c r="J311" s="5" t="s">
        <v>22</v>
      </c>
      <c r="K311" s="36" t="s">
        <v>23</v>
      </c>
      <c r="L311"/>
      <c r="M311"/>
      <c r="N311"/>
      <c r="O311"/>
      <c r="P311"/>
      <c r="V311" s="2"/>
    </row>
    <row r="312" spans="1:31" ht="22.5" customHeight="1" x14ac:dyDescent="0.25">
      <c r="A312" s="8">
        <f t="shared" si="8"/>
        <v>311</v>
      </c>
      <c r="B312" s="24" t="s">
        <v>98</v>
      </c>
      <c r="C312" s="27">
        <v>37727</v>
      </c>
      <c r="D312" s="45">
        <f t="shared" ca="1" si="9"/>
        <v>22</v>
      </c>
      <c r="E312" s="4">
        <v>40</v>
      </c>
      <c r="F312" s="4" t="s">
        <v>19</v>
      </c>
      <c r="G312" s="4" t="s">
        <v>26</v>
      </c>
      <c r="H312" s="4" t="s">
        <v>21</v>
      </c>
      <c r="I312" s="44" t="s">
        <v>620</v>
      </c>
      <c r="J312" s="5" t="s">
        <v>22</v>
      </c>
      <c r="K312" s="36" t="s">
        <v>23</v>
      </c>
      <c r="L312"/>
      <c r="M312"/>
      <c r="N312"/>
      <c r="O312"/>
      <c r="P312"/>
      <c r="V312" s="2"/>
    </row>
    <row r="313" spans="1:31" ht="22.5" customHeight="1" x14ac:dyDescent="0.25">
      <c r="A313" s="8">
        <f t="shared" si="8"/>
        <v>312</v>
      </c>
      <c r="B313" s="24" t="s">
        <v>54</v>
      </c>
      <c r="C313" s="27">
        <v>39433</v>
      </c>
      <c r="D313" s="45">
        <f t="shared" ca="1" si="9"/>
        <v>18</v>
      </c>
      <c r="E313" s="4">
        <v>50</v>
      </c>
      <c r="F313" s="4" t="s">
        <v>19</v>
      </c>
      <c r="G313" s="4" t="s">
        <v>26</v>
      </c>
      <c r="H313" s="4" t="s">
        <v>21</v>
      </c>
      <c r="I313" s="44" t="s">
        <v>622</v>
      </c>
      <c r="J313" s="5" t="s">
        <v>22</v>
      </c>
      <c r="K313" s="36" t="s">
        <v>23</v>
      </c>
      <c r="L313"/>
      <c r="M313"/>
      <c r="N313"/>
      <c r="O313"/>
      <c r="P313"/>
      <c r="V313" s="2"/>
    </row>
    <row r="314" spans="1:31" ht="22.5" customHeight="1" x14ac:dyDescent="0.25">
      <c r="A314" s="8">
        <f t="shared" si="8"/>
        <v>313</v>
      </c>
      <c r="B314" s="24" t="s">
        <v>53</v>
      </c>
      <c r="C314" s="27">
        <v>38688</v>
      </c>
      <c r="D314" s="45">
        <f t="shared" ca="1" si="9"/>
        <v>20</v>
      </c>
      <c r="E314" s="4">
        <v>64</v>
      </c>
      <c r="F314" s="4" t="s">
        <v>19</v>
      </c>
      <c r="G314" s="4" t="s">
        <v>26</v>
      </c>
      <c r="H314" s="4" t="s">
        <v>21</v>
      </c>
      <c r="I314" s="44" t="s">
        <v>621</v>
      </c>
      <c r="J314" s="5" t="s">
        <v>22</v>
      </c>
      <c r="K314" s="36" t="s">
        <v>23</v>
      </c>
      <c r="L314"/>
      <c r="M314"/>
      <c r="N314"/>
      <c r="O314"/>
      <c r="P314"/>
      <c r="V314" s="2"/>
    </row>
    <row r="315" spans="1:31" ht="22.5" customHeight="1" x14ac:dyDescent="0.25">
      <c r="A315" s="8">
        <f t="shared" si="8"/>
        <v>314</v>
      </c>
      <c r="B315" s="24" t="s">
        <v>528</v>
      </c>
      <c r="C315" s="27">
        <v>44002</v>
      </c>
      <c r="D315" s="45">
        <f t="shared" ca="1" si="9"/>
        <v>5</v>
      </c>
      <c r="E315" s="4">
        <v>19</v>
      </c>
      <c r="F315" s="4" t="s">
        <v>19</v>
      </c>
      <c r="G315" s="4" t="s">
        <v>50</v>
      </c>
      <c r="H315" s="4" t="s">
        <v>21</v>
      </c>
      <c r="I315" s="44" t="s">
        <v>622</v>
      </c>
      <c r="J315" s="5" t="s">
        <v>188</v>
      </c>
      <c r="K315" s="36" t="s">
        <v>189</v>
      </c>
      <c r="L315"/>
      <c r="M315"/>
      <c r="N315"/>
      <c r="O315"/>
      <c r="P315"/>
      <c r="V315" s="2"/>
    </row>
    <row r="316" spans="1:31" ht="22.5" customHeight="1" x14ac:dyDescent="0.25">
      <c r="A316" s="8">
        <f t="shared" si="8"/>
        <v>315</v>
      </c>
      <c r="B316" s="24" t="s">
        <v>237</v>
      </c>
      <c r="C316" s="27">
        <v>43195</v>
      </c>
      <c r="D316" s="45">
        <f t="shared" ca="1" si="9"/>
        <v>7</v>
      </c>
      <c r="E316" s="4">
        <v>23</v>
      </c>
      <c r="F316" s="4" t="s">
        <v>19</v>
      </c>
      <c r="G316" s="4" t="s">
        <v>39</v>
      </c>
      <c r="H316" s="4" t="s">
        <v>21</v>
      </c>
      <c r="I316" s="44" t="s">
        <v>622</v>
      </c>
      <c r="J316" s="5" t="s">
        <v>188</v>
      </c>
      <c r="K316" s="36" t="s">
        <v>189</v>
      </c>
      <c r="L316"/>
      <c r="M316"/>
      <c r="N316"/>
      <c r="O316"/>
      <c r="P316"/>
      <c r="V316" s="2"/>
    </row>
    <row r="317" spans="1:31" ht="22.5" customHeight="1" x14ac:dyDescent="0.25">
      <c r="A317" s="8">
        <f t="shared" si="8"/>
        <v>316</v>
      </c>
      <c r="B317" s="24" t="s">
        <v>518</v>
      </c>
      <c r="C317" s="27">
        <v>42932</v>
      </c>
      <c r="D317" s="45">
        <f t="shared" ca="1" si="9"/>
        <v>8</v>
      </c>
      <c r="E317" s="4">
        <v>45</v>
      </c>
      <c r="F317" s="4" t="s">
        <v>25</v>
      </c>
      <c r="G317" s="4" t="s">
        <v>39</v>
      </c>
      <c r="H317" s="4" t="s">
        <v>21</v>
      </c>
      <c r="I317" s="44" t="s">
        <v>620</v>
      </c>
      <c r="J317" s="5" t="s">
        <v>188</v>
      </c>
      <c r="K317" s="36" t="s">
        <v>189</v>
      </c>
      <c r="L317"/>
      <c r="M317"/>
      <c r="N317"/>
      <c r="O317"/>
      <c r="P317"/>
      <c r="V317" s="2"/>
    </row>
    <row r="318" spans="1:31" ht="22.5" customHeight="1" x14ac:dyDescent="0.25">
      <c r="A318" s="8">
        <f t="shared" si="8"/>
        <v>317</v>
      </c>
      <c r="B318" s="24" t="s">
        <v>297</v>
      </c>
      <c r="C318" s="27">
        <v>42411</v>
      </c>
      <c r="D318" s="45">
        <f t="shared" ca="1" si="9"/>
        <v>10</v>
      </c>
      <c r="E318" s="4">
        <v>39</v>
      </c>
      <c r="F318" s="4" t="s">
        <v>25</v>
      </c>
      <c r="G318" s="4" t="s">
        <v>34</v>
      </c>
      <c r="H318" s="4" t="s">
        <v>21</v>
      </c>
      <c r="I318" s="44" t="s">
        <v>620</v>
      </c>
      <c r="J318" s="5" t="s">
        <v>188</v>
      </c>
      <c r="K318" s="36" t="s">
        <v>189</v>
      </c>
      <c r="L318"/>
      <c r="M318"/>
      <c r="N318"/>
      <c r="O318"/>
      <c r="P318"/>
      <c r="V318" s="2"/>
    </row>
    <row r="319" spans="1:31" ht="22.5" customHeight="1" x14ac:dyDescent="0.25">
      <c r="A319" s="8">
        <f t="shared" si="8"/>
        <v>318</v>
      </c>
      <c r="B319" s="24" t="s">
        <v>259</v>
      </c>
      <c r="C319" s="27">
        <v>42528</v>
      </c>
      <c r="D319" s="45">
        <f t="shared" ca="1" si="9"/>
        <v>9</v>
      </c>
      <c r="E319" s="4">
        <v>47</v>
      </c>
      <c r="F319" s="4" t="s">
        <v>25</v>
      </c>
      <c r="G319" s="4" t="s">
        <v>39</v>
      </c>
      <c r="H319" s="4" t="s">
        <v>21</v>
      </c>
      <c r="I319" s="44" t="s">
        <v>621</v>
      </c>
      <c r="J319" s="5" t="s">
        <v>188</v>
      </c>
      <c r="K319" s="36" t="s">
        <v>189</v>
      </c>
      <c r="L319"/>
      <c r="M319"/>
      <c r="N319"/>
      <c r="O319"/>
      <c r="P319"/>
      <c r="V319" s="2"/>
    </row>
    <row r="320" spans="1:31" ht="22.5" customHeight="1" x14ac:dyDescent="0.25">
      <c r="A320" s="8">
        <f t="shared" si="8"/>
        <v>319</v>
      </c>
      <c r="B320" s="24" t="s">
        <v>239</v>
      </c>
      <c r="C320" s="27">
        <v>42726</v>
      </c>
      <c r="D320" s="45">
        <f t="shared" ca="1" si="9"/>
        <v>9</v>
      </c>
      <c r="E320" s="4">
        <v>21</v>
      </c>
      <c r="F320" s="4" t="s">
        <v>19</v>
      </c>
      <c r="G320" s="4" t="s">
        <v>39</v>
      </c>
      <c r="H320" s="4" t="s">
        <v>21</v>
      </c>
      <c r="I320" s="44" t="s">
        <v>621</v>
      </c>
      <c r="J320" s="5" t="s">
        <v>188</v>
      </c>
      <c r="K320" s="36" t="s">
        <v>189</v>
      </c>
      <c r="L320" s="2"/>
      <c r="M320" s="2"/>
      <c r="N320" s="2"/>
      <c r="O320" s="2"/>
      <c r="P320" s="2"/>
      <c r="Q320" s="2"/>
      <c r="R320" s="2"/>
      <c r="S320" s="2"/>
      <c r="T320" s="2"/>
      <c r="U320" s="2"/>
      <c r="V320" s="2"/>
      <c r="W320" s="2"/>
      <c r="X320" s="2"/>
      <c r="Y320" s="2"/>
      <c r="Z320" s="2"/>
      <c r="AA320" s="2"/>
      <c r="AB320" s="2"/>
      <c r="AC320" s="2"/>
      <c r="AD320" s="2"/>
      <c r="AE320" s="2"/>
    </row>
    <row r="321" spans="1:31" ht="22.5" customHeight="1" x14ac:dyDescent="0.25">
      <c r="A321" s="8">
        <f t="shared" si="8"/>
        <v>320</v>
      </c>
      <c r="B321" s="24" t="s">
        <v>421</v>
      </c>
      <c r="C321" s="27">
        <v>42335</v>
      </c>
      <c r="D321" s="45">
        <f t="shared" ca="1" si="9"/>
        <v>10</v>
      </c>
      <c r="E321" s="4">
        <v>24</v>
      </c>
      <c r="F321" s="4" t="s">
        <v>25</v>
      </c>
      <c r="G321" s="4" t="s">
        <v>28</v>
      </c>
      <c r="H321" s="4" t="s">
        <v>21</v>
      </c>
      <c r="I321" s="44" t="s">
        <v>620</v>
      </c>
      <c r="J321" s="5" t="s">
        <v>188</v>
      </c>
      <c r="K321" s="36" t="s">
        <v>189</v>
      </c>
      <c r="L321" s="2"/>
      <c r="M321" s="2"/>
      <c r="N321" s="2"/>
      <c r="O321" s="2"/>
      <c r="P321" s="2"/>
      <c r="Q321" s="2"/>
      <c r="R321" s="2"/>
      <c r="S321" s="2"/>
      <c r="T321" s="2"/>
      <c r="U321" s="2"/>
      <c r="V321" s="2"/>
      <c r="W321" s="2"/>
      <c r="X321" s="2"/>
      <c r="Y321" s="2"/>
      <c r="Z321" s="2"/>
      <c r="AA321" s="2"/>
      <c r="AB321" s="2"/>
      <c r="AC321" s="2"/>
      <c r="AD321" s="2"/>
      <c r="AE321" s="2"/>
    </row>
    <row r="322" spans="1:31" ht="22.5" customHeight="1" x14ac:dyDescent="0.25">
      <c r="A322" s="8">
        <f t="shared" si="8"/>
        <v>321</v>
      </c>
      <c r="B322" s="24" t="s">
        <v>529</v>
      </c>
      <c r="C322" s="27">
        <v>42227</v>
      </c>
      <c r="D322" s="45">
        <f t="shared" ca="1" si="9"/>
        <v>10</v>
      </c>
      <c r="E322" s="4">
        <v>35</v>
      </c>
      <c r="F322" s="4" t="s">
        <v>19</v>
      </c>
      <c r="G322" s="4" t="s">
        <v>28</v>
      </c>
      <c r="H322" s="4" t="s">
        <v>21</v>
      </c>
      <c r="I322" s="44" t="s">
        <v>622</v>
      </c>
      <c r="J322" s="5" t="s">
        <v>188</v>
      </c>
      <c r="K322" s="36" t="s">
        <v>189</v>
      </c>
      <c r="L322" s="2"/>
      <c r="M322" s="2"/>
      <c r="N322" s="2"/>
      <c r="O322" s="2"/>
      <c r="P322" s="2"/>
      <c r="Q322" s="2"/>
      <c r="R322" s="2"/>
      <c r="S322" s="2"/>
      <c r="T322" s="2"/>
      <c r="U322" s="2"/>
      <c r="V322" s="2"/>
      <c r="W322" s="2"/>
      <c r="X322" s="2"/>
      <c r="Y322" s="2"/>
      <c r="Z322" s="2"/>
      <c r="AA322" s="2"/>
      <c r="AB322" s="2"/>
      <c r="AC322" s="2"/>
      <c r="AD322" s="2"/>
      <c r="AE322" s="2"/>
    </row>
    <row r="323" spans="1:31" ht="22.5" customHeight="1" x14ac:dyDescent="0.25">
      <c r="A323" s="8">
        <f t="shared" ref="A323:A386" si="10">A322+1</f>
        <v>322</v>
      </c>
      <c r="B323" s="24" t="s">
        <v>279</v>
      </c>
      <c r="C323" s="27">
        <v>41443</v>
      </c>
      <c r="D323" s="45">
        <f t="shared" ref="D323:D386" ca="1" si="11">DATEDIF(C323, TODAY(), "Y")</f>
        <v>12</v>
      </c>
      <c r="E323" s="4">
        <v>32</v>
      </c>
      <c r="F323" s="4" t="s">
        <v>25</v>
      </c>
      <c r="G323" s="4" t="s">
        <v>20</v>
      </c>
      <c r="H323" s="4" t="s">
        <v>21</v>
      </c>
      <c r="I323" s="44" t="s">
        <v>621</v>
      </c>
      <c r="J323" s="5" t="s">
        <v>188</v>
      </c>
      <c r="K323" s="36" t="s">
        <v>189</v>
      </c>
      <c r="L323" s="2"/>
      <c r="M323" s="2"/>
      <c r="N323" s="2"/>
      <c r="O323" s="2"/>
      <c r="P323" s="2"/>
      <c r="Q323" s="2"/>
      <c r="R323" s="2"/>
      <c r="S323" s="2"/>
      <c r="T323" s="2"/>
      <c r="U323" s="2"/>
      <c r="V323" s="2"/>
      <c r="W323" s="2"/>
      <c r="X323" s="2"/>
      <c r="Y323" s="2"/>
      <c r="Z323" s="2"/>
      <c r="AA323" s="2"/>
      <c r="AB323" s="2"/>
      <c r="AC323" s="2"/>
      <c r="AD323" s="2"/>
      <c r="AE323" s="2"/>
    </row>
    <row r="324" spans="1:31" ht="22.5" customHeight="1" x14ac:dyDescent="0.25">
      <c r="A324" s="8">
        <f t="shared" si="10"/>
        <v>323</v>
      </c>
      <c r="B324" s="24" t="s">
        <v>201</v>
      </c>
      <c r="C324" s="27">
        <v>41037</v>
      </c>
      <c r="D324" s="45">
        <f t="shared" ca="1" si="11"/>
        <v>13</v>
      </c>
      <c r="E324" s="4">
        <v>57</v>
      </c>
      <c r="F324" s="4" t="s">
        <v>25</v>
      </c>
      <c r="G324" s="4" t="s">
        <v>61</v>
      </c>
      <c r="H324" s="4" t="s">
        <v>21</v>
      </c>
      <c r="I324" s="44" t="s">
        <v>622</v>
      </c>
      <c r="J324" s="5" t="s">
        <v>188</v>
      </c>
      <c r="K324" s="36" t="s">
        <v>189</v>
      </c>
      <c r="L324" s="2"/>
      <c r="M324" s="2"/>
      <c r="N324" s="2"/>
      <c r="O324" s="2"/>
      <c r="P324" s="2"/>
      <c r="Q324" s="2"/>
      <c r="R324" s="2"/>
      <c r="S324" s="2"/>
      <c r="T324" s="2"/>
      <c r="U324" s="2"/>
      <c r="V324" s="2"/>
      <c r="W324" s="2"/>
      <c r="X324" s="2"/>
      <c r="Y324" s="2"/>
      <c r="Z324" s="2"/>
      <c r="AA324" s="2"/>
      <c r="AB324" s="2"/>
      <c r="AC324" s="2"/>
      <c r="AD324" s="2"/>
      <c r="AE324" s="2"/>
    </row>
    <row r="325" spans="1:31" ht="22.5" customHeight="1" x14ac:dyDescent="0.25">
      <c r="A325" s="8">
        <f t="shared" si="10"/>
        <v>324</v>
      </c>
      <c r="B325" s="24" t="s">
        <v>266</v>
      </c>
      <c r="C325" s="27">
        <v>40613</v>
      </c>
      <c r="D325" s="45">
        <f t="shared" ca="1" si="11"/>
        <v>15</v>
      </c>
      <c r="E325" s="4">
        <v>52</v>
      </c>
      <c r="F325" s="4" t="s">
        <v>25</v>
      </c>
      <c r="G325" s="4" t="s">
        <v>86</v>
      </c>
      <c r="H325" s="4" t="s">
        <v>21</v>
      </c>
      <c r="I325" s="44" t="s">
        <v>622</v>
      </c>
      <c r="J325" s="5" t="s">
        <v>188</v>
      </c>
      <c r="K325" s="36" t="s">
        <v>189</v>
      </c>
      <c r="L325" s="2"/>
      <c r="M325" s="2"/>
      <c r="N325" s="2"/>
      <c r="O325" s="2"/>
      <c r="P325" s="2"/>
      <c r="Q325" s="2"/>
      <c r="R325" s="2"/>
      <c r="S325" s="2"/>
      <c r="T325" s="2"/>
      <c r="U325" s="2"/>
      <c r="V325" s="2"/>
      <c r="W325" s="2"/>
      <c r="X325" s="2"/>
      <c r="Y325" s="2"/>
      <c r="Z325" s="2"/>
      <c r="AA325" s="2"/>
      <c r="AB325" s="2"/>
      <c r="AC325" s="2"/>
      <c r="AD325" s="2"/>
      <c r="AE325" s="2"/>
    </row>
    <row r="326" spans="1:31" ht="22.5" customHeight="1" x14ac:dyDescent="0.25">
      <c r="A326" s="8">
        <f t="shared" si="10"/>
        <v>325</v>
      </c>
      <c r="B326" s="24" t="s">
        <v>187</v>
      </c>
      <c r="C326" s="27">
        <v>40279</v>
      </c>
      <c r="D326" s="45">
        <f t="shared" ca="1" si="11"/>
        <v>15</v>
      </c>
      <c r="E326" s="4">
        <v>49</v>
      </c>
      <c r="F326" s="4" t="s">
        <v>19</v>
      </c>
      <c r="G326" s="4" t="s">
        <v>61</v>
      </c>
      <c r="H326" s="4" t="s">
        <v>21</v>
      </c>
      <c r="I326" s="44" t="s">
        <v>620</v>
      </c>
      <c r="J326" s="5" t="s">
        <v>188</v>
      </c>
      <c r="K326" s="36" t="s">
        <v>189</v>
      </c>
      <c r="L326" s="2"/>
      <c r="M326" s="2"/>
      <c r="N326" s="2"/>
      <c r="O326" s="2"/>
      <c r="P326" s="2"/>
      <c r="Q326" s="2"/>
      <c r="R326" s="2"/>
      <c r="S326" s="2"/>
      <c r="T326" s="2"/>
      <c r="U326" s="2"/>
      <c r="V326" s="2"/>
      <c r="W326" s="2"/>
      <c r="X326" s="2"/>
      <c r="Y326" s="2"/>
      <c r="Z326" s="2"/>
      <c r="AA326" s="2"/>
      <c r="AB326" s="2"/>
      <c r="AC326" s="2"/>
      <c r="AD326" s="2"/>
      <c r="AE326" s="2"/>
    </row>
    <row r="327" spans="1:31" ht="22.5" customHeight="1" x14ac:dyDescent="0.25">
      <c r="A327" s="8">
        <f t="shared" si="10"/>
        <v>326</v>
      </c>
      <c r="B327" s="24" t="s">
        <v>451</v>
      </c>
      <c r="C327" s="27">
        <v>40575</v>
      </c>
      <c r="D327" s="45">
        <f t="shared" ca="1" si="11"/>
        <v>15</v>
      </c>
      <c r="E327" s="4">
        <v>51</v>
      </c>
      <c r="F327" s="4" t="s">
        <v>19</v>
      </c>
      <c r="G327" s="4" t="s">
        <v>20</v>
      </c>
      <c r="H327" s="4" t="s">
        <v>21</v>
      </c>
      <c r="I327" s="44" t="s">
        <v>620</v>
      </c>
      <c r="J327" s="5" t="s">
        <v>188</v>
      </c>
      <c r="K327" s="36" t="s">
        <v>189</v>
      </c>
      <c r="L327" s="2"/>
      <c r="M327" s="2"/>
      <c r="N327" s="2"/>
      <c r="O327" s="2"/>
      <c r="P327" s="2"/>
      <c r="Q327" s="2"/>
      <c r="R327" s="2"/>
      <c r="S327" s="2"/>
      <c r="T327" s="2"/>
      <c r="U327" s="2"/>
      <c r="V327" s="2"/>
      <c r="W327" s="2"/>
      <c r="X327" s="2"/>
      <c r="Y327" s="2"/>
      <c r="Z327" s="2"/>
      <c r="AA327" s="2"/>
      <c r="AB327" s="2"/>
      <c r="AC327" s="2"/>
      <c r="AD327" s="2"/>
      <c r="AE327" s="2"/>
    </row>
    <row r="328" spans="1:31" ht="22.5" customHeight="1" x14ac:dyDescent="0.25">
      <c r="A328" s="8">
        <f t="shared" si="10"/>
        <v>327</v>
      </c>
      <c r="B328" s="24" t="s">
        <v>238</v>
      </c>
      <c r="C328" s="27">
        <v>40621</v>
      </c>
      <c r="D328" s="45">
        <f t="shared" ca="1" si="11"/>
        <v>15</v>
      </c>
      <c r="E328" s="4">
        <v>52</v>
      </c>
      <c r="F328" s="4" t="s">
        <v>19</v>
      </c>
      <c r="G328" s="4" t="s">
        <v>86</v>
      </c>
      <c r="H328" s="4" t="s">
        <v>21</v>
      </c>
      <c r="I328" s="44" t="s">
        <v>621</v>
      </c>
      <c r="J328" s="5" t="s">
        <v>188</v>
      </c>
      <c r="K328" s="36" t="s">
        <v>189</v>
      </c>
      <c r="L328" s="2"/>
      <c r="M328" s="2"/>
      <c r="N328" s="2"/>
      <c r="O328" s="2"/>
      <c r="P328" s="2"/>
      <c r="Q328" s="2"/>
      <c r="R328" s="2"/>
      <c r="S328" s="2"/>
      <c r="T328" s="2"/>
      <c r="U328" s="2"/>
      <c r="V328" s="2"/>
      <c r="W328" s="2"/>
      <c r="X328" s="2"/>
      <c r="Y328" s="2"/>
      <c r="Z328" s="2"/>
      <c r="AA328" s="2"/>
      <c r="AB328" s="2"/>
      <c r="AC328" s="2"/>
      <c r="AD328" s="2"/>
      <c r="AE328" s="2"/>
    </row>
    <row r="329" spans="1:31" ht="22.5" customHeight="1" x14ac:dyDescent="0.25">
      <c r="A329" s="8">
        <f t="shared" si="10"/>
        <v>328</v>
      </c>
      <c r="B329" s="24" t="s">
        <v>258</v>
      </c>
      <c r="C329" s="27">
        <v>40374</v>
      </c>
      <c r="D329" s="45">
        <f t="shared" ca="1" si="11"/>
        <v>15</v>
      </c>
      <c r="E329" s="4">
        <v>68</v>
      </c>
      <c r="F329" s="4" t="s">
        <v>19</v>
      </c>
      <c r="G329" s="4" t="s">
        <v>20</v>
      </c>
      <c r="H329" s="4" t="s">
        <v>21</v>
      </c>
      <c r="I329" s="44" t="s">
        <v>621</v>
      </c>
      <c r="J329" s="5" t="s">
        <v>188</v>
      </c>
      <c r="K329" s="36" t="s">
        <v>189</v>
      </c>
      <c r="L329" s="2"/>
      <c r="M329" s="2"/>
      <c r="N329" s="2"/>
      <c r="O329" s="2"/>
      <c r="P329" s="2"/>
      <c r="Q329" s="2"/>
      <c r="R329" s="2"/>
      <c r="S329" s="2"/>
      <c r="T329" s="2"/>
      <c r="U329" s="2"/>
      <c r="V329" s="2"/>
      <c r="W329" s="2"/>
      <c r="X329" s="2"/>
      <c r="Y329" s="2"/>
      <c r="Z329" s="2"/>
      <c r="AA329" s="2"/>
      <c r="AB329" s="2"/>
      <c r="AC329" s="2"/>
      <c r="AD329" s="2"/>
      <c r="AE329" s="2"/>
    </row>
    <row r="330" spans="1:31" ht="22.5" customHeight="1" x14ac:dyDescent="0.25">
      <c r="A330" s="8">
        <f t="shared" si="10"/>
        <v>329</v>
      </c>
      <c r="B330" s="24" t="s">
        <v>236</v>
      </c>
      <c r="C330" s="27">
        <v>40673</v>
      </c>
      <c r="D330" s="45">
        <f t="shared" ca="1" si="11"/>
        <v>14</v>
      </c>
      <c r="E330" s="4">
        <v>44</v>
      </c>
      <c r="F330" s="4" t="s">
        <v>19</v>
      </c>
      <c r="G330" s="4" t="s">
        <v>32</v>
      </c>
      <c r="H330" s="4" t="s">
        <v>45</v>
      </c>
      <c r="I330" s="44" t="s">
        <v>620</v>
      </c>
      <c r="J330" s="5" t="s">
        <v>188</v>
      </c>
      <c r="K330" s="36" t="s">
        <v>189</v>
      </c>
      <c r="L330" s="2"/>
      <c r="M330" s="2"/>
      <c r="N330" s="2"/>
      <c r="O330" s="2"/>
      <c r="P330" s="2"/>
      <c r="Q330" s="2"/>
      <c r="R330" s="2"/>
      <c r="S330" s="2"/>
      <c r="T330" s="2"/>
      <c r="U330" s="2"/>
      <c r="V330" s="2"/>
      <c r="W330" s="2"/>
      <c r="X330" s="2"/>
      <c r="Y330" s="2"/>
      <c r="Z330" s="2"/>
      <c r="AA330" s="2"/>
      <c r="AB330" s="2"/>
      <c r="AC330" s="2"/>
      <c r="AD330" s="2"/>
      <c r="AE330" s="2"/>
    </row>
    <row r="331" spans="1:31" ht="22.5" customHeight="1" x14ac:dyDescent="0.25">
      <c r="A331" s="8">
        <f t="shared" si="10"/>
        <v>330</v>
      </c>
      <c r="B331" s="24" t="s">
        <v>375</v>
      </c>
      <c r="C331" s="27">
        <v>42929</v>
      </c>
      <c r="D331" s="45">
        <f t="shared" ca="1" si="11"/>
        <v>8</v>
      </c>
      <c r="E331" s="4">
        <v>24</v>
      </c>
      <c r="F331" s="4" t="s">
        <v>19</v>
      </c>
      <c r="G331" s="4" t="s">
        <v>28</v>
      </c>
      <c r="H331" s="4" t="s">
        <v>21</v>
      </c>
      <c r="I331" s="44" t="s">
        <v>622</v>
      </c>
      <c r="J331" s="5" t="s">
        <v>211</v>
      </c>
      <c r="K331" s="36" t="s">
        <v>373</v>
      </c>
      <c r="L331" s="2"/>
      <c r="M331" s="2"/>
      <c r="N331" s="2"/>
      <c r="O331" s="2"/>
      <c r="P331" s="2"/>
      <c r="Q331" s="2"/>
      <c r="R331" s="2"/>
      <c r="S331" s="2"/>
      <c r="T331" s="2"/>
      <c r="U331" s="2"/>
      <c r="V331" s="2"/>
      <c r="W331" s="2"/>
      <c r="X331" s="2"/>
      <c r="Y331" s="2"/>
      <c r="Z331" s="2"/>
      <c r="AA331" s="2"/>
      <c r="AB331" s="2"/>
      <c r="AC331" s="2"/>
      <c r="AD331" s="2"/>
      <c r="AE331" s="2"/>
    </row>
    <row r="332" spans="1:31" ht="22.5" customHeight="1" x14ac:dyDescent="0.25">
      <c r="A332" s="8">
        <f t="shared" si="10"/>
        <v>331</v>
      </c>
      <c r="B332" s="24" t="s">
        <v>372</v>
      </c>
      <c r="C332" s="27">
        <v>42710</v>
      </c>
      <c r="D332" s="45">
        <f t="shared" ca="1" si="11"/>
        <v>9</v>
      </c>
      <c r="E332" s="4">
        <v>42</v>
      </c>
      <c r="F332" s="4" t="s">
        <v>25</v>
      </c>
      <c r="G332" s="4" t="s">
        <v>20</v>
      </c>
      <c r="H332" s="4" t="s">
        <v>21</v>
      </c>
      <c r="I332" s="44" t="s">
        <v>621</v>
      </c>
      <c r="J332" s="5" t="s">
        <v>211</v>
      </c>
      <c r="K332" s="36" t="s">
        <v>373</v>
      </c>
      <c r="L332" s="2"/>
      <c r="M332" s="2"/>
      <c r="N332" s="2"/>
      <c r="O332" s="2"/>
      <c r="P332" s="2"/>
      <c r="Q332" s="2"/>
      <c r="R332" s="2"/>
      <c r="S332" s="2"/>
      <c r="T332" s="2"/>
      <c r="U332" s="2"/>
      <c r="V332" s="2"/>
      <c r="W332" s="2"/>
      <c r="X332" s="2"/>
      <c r="Y332" s="2"/>
      <c r="Z332" s="2"/>
      <c r="AA332" s="2"/>
      <c r="AB332" s="2"/>
      <c r="AC332" s="2"/>
      <c r="AD332" s="2"/>
      <c r="AE332" s="2"/>
    </row>
    <row r="333" spans="1:31" ht="22.5" customHeight="1" x14ac:dyDescent="0.25">
      <c r="A333" s="8">
        <f t="shared" si="10"/>
        <v>332</v>
      </c>
      <c r="B333" s="24" t="s">
        <v>374</v>
      </c>
      <c r="C333" s="27">
        <v>41882</v>
      </c>
      <c r="D333" s="45">
        <f t="shared" ca="1" si="11"/>
        <v>11</v>
      </c>
      <c r="E333" s="4">
        <v>29</v>
      </c>
      <c r="F333" s="4" t="s">
        <v>25</v>
      </c>
      <c r="G333" s="4" t="s">
        <v>42</v>
      </c>
      <c r="H333" s="4" t="s">
        <v>21</v>
      </c>
      <c r="I333" s="44" t="s">
        <v>622</v>
      </c>
      <c r="J333" s="5" t="s">
        <v>211</v>
      </c>
      <c r="K333" s="36" t="s">
        <v>373</v>
      </c>
      <c r="L333" s="2"/>
      <c r="M333" s="2"/>
      <c r="N333" s="2"/>
      <c r="O333" s="2"/>
      <c r="P333" s="2"/>
      <c r="Q333" s="2"/>
      <c r="R333" s="2"/>
      <c r="S333" s="2"/>
      <c r="T333" s="2"/>
      <c r="U333" s="2"/>
      <c r="V333" s="2"/>
      <c r="W333" s="2"/>
      <c r="X333" s="2"/>
      <c r="Y333" s="2"/>
      <c r="Z333" s="2"/>
      <c r="AA333" s="2"/>
      <c r="AB333" s="2"/>
      <c r="AC333" s="2"/>
      <c r="AD333" s="2"/>
      <c r="AE333" s="2"/>
    </row>
    <row r="334" spans="1:31" ht="22.5" customHeight="1" x14ac:dyDescent="0.25">
      <c r="A334" s="8">
        <f t="shared" si="10"/>
        <v>333</v>
      </c>
      <c r="B334" s="24" t="s">
        <v>377</v>
      </c>
      <c r="C334" s="27">
        <v>40495</v>
      </c>
      <c r="D334" s="45">
        <f t="shared" ca="1" si="11"/>
        <v>15</v>
      </c>
      <c r="E334" s="4">
        <v>64</v>
      </c>
      <c r="F334" s="4" t="s">
        <v>25</v>
      </c>
      <c r="G334" s="4" t="s">
        <v>37</v>
      </c>
      <c r="H334" s="4" t="s">
        <v>21</v>
      </c>
      <c r="I334" s="44" t="s">
        <v>622</v>
      </c>
      <c r="J334" s="5" t="s">
        <v>211</v>
      </c>
      <c r="K334" s="36" t="s">
        <v>373</v>
      </c>
      <c r="L334" s="2"/>
      <c r="M334" s="2"/>
      <c r="N334" s="2"/>
      <c r="O334" s="2"/>
      <c r="P334" s="2"/>
      <c r="Q334" s="2"/>
      <c r="R334" s="2"/>
      <c r="S334" s="2"/>
      <c r="T334" s="2"/>
      <c r="U334" s="2"/>
      <c r="V334" s="2"/>
      <c r="W334" s="2"/>
      <c r="X334" s="2"/>
      <c r="Y334" s="2"/>
      <c r="Z334" s="2"/>
      <c r="AA334" s="2"/>
      <c r="AB334" s="2"/>
      <c r="AC334" s="2"/>
      <c r="AD334" s="2"/>
      <c r="AE334" s="2"/>
    </row>
    <row r="335" spans="1:31" ht="22.5" customHeight="1" x14ac:dyDescent="0.25">
      <c r="A335" s="8">
        <f t="shared" si="10"/>
        <v>334</v>
      </c>
      <c r="B335" s="24" t="s">
        <v>376</v>
      </c>
      <c r="C335" s="27">
        <v>40223</v>
      </c>
      <c r="D335" s="45">
        <f t="shared" ca="1" si="11"/>
        <v>16</v>
      </c>
      <c r="E335" s="4">
        <v>54</v>
      </c>
      <c r="F335" s="4" t="s">
        <v>19</v>
      </c>
      <c r="G335" s="4" t="s">
        <v>26</v>
      </c>
      <c r="H335" s="4" t="s">
        <v>21</v>
      </c>
      <c r="I335" s="44" t="s">
        <v>620</v>
      </c>
      <c r="J335" s="5" t="s">
        <v>211</v>
      </c>
      <c r="K335" s="36" t="s">
        <v>373</v>
      </c>
      <c r="L335" s="2"/>
      <c r="M335" s="2"/>
      <c r="N335" s="2"/>
      <c r="O335" s="2"/>
      <c r="P335" s="2"/>
      <c r="Q335" s="2"/>
      <c r="R335" s="2"/>
      <c r="S335" s="2"/>
      <c r="T335" s="2"/>
      <c r="U335" s="2"/>
      <c r="V335" s="2"/>
      <c r="W335" s="2"/>
      <c r="X335" s="2"/>
      <c r="Y335" s="2"/>
      <c r="Z335" s="2"/>
      <c r="AA335" s="2"/>
      <c r="AB335" s="2"/>
      <c r="AC335" s="2"/>
      <c r="AD335" s="2"/>
      <c r="AE335" s="2"/>
    </row>
    <row r="336" spans="1:31" ht="22.5" customHeight="1" x14ac:dyDescent="0.25">
      <c r="A336" s="8">
        <f t="shared" si="10"/>
        <v>335</v>
      </c>
      <c r="B336" s="24" t="s">
        <v>571</v>
      </c>
      <c r="C336" s="29">
        <v>42516</v>
      </c>
      <c r="D336" s="45">
        <f t="shared" ca="1" si="11"/>
        <v>9</v>
      </c>
      <c r="E336" s="16">
        <v>40</v>
      </c>
      <c r="F336" s="16" t="s">
        <v>19</v>
      </c>
      <c r="G336" s="16" t="s">
        <v>50</v>
      </c>
      <c r="H336" s="16" t="s">
        <v>21</v>
      </c>
      <c r="I336" s="44" t="s">
        <v>620</v>
      </c>
      <c r="J336" s="17" t="s">
        <v>580</v>
      </c>
      <c r="K336" s="39" t="s">
        <v>583</v>
      </c>
      <c r="L336" s="2"/>
      <c r="M336" s="2"/>
      <c r="N336" s="2"/>
      <c r="O336" s="2"/>
      <c r="P336" s="2"/>
      <c r="Q336" s="2"/>
      <c r="R336" s="2"/>
      <c r="S336" s="2"/>
      <c r="T336" s="2"/>
      <c r="U336" s="2"/>
      <c r="V336" s="2"/>
      <c r="W336" s="2"/>
      <c r="X336" s="2"/>
      <c r="Y336" s="2"/>
      <c r="Z336" s="2"/>
      <c r="AA336" s="2"/>
      <c r="AB336" s="2"/>
      <c r="AC336" s="2"/>
      <c r="AD336" s="2"/>
      <c r="AE336" s="2"/>
    </row>
    <row r="337" spans="1:31" ht="22.5" customHeight="1" x14ac:dyDescent="0.25">
      <c r="A337" s="8">
        <f t="shared" si="10"/>
        <v>336</v>
      </c>
      <c r="B337" s="24" t="s">
        <v>569</v>
      </c>
      <c r="C337" s="29">
        <v>41929</v>
      </c>
      <c r="D337" s="45">
        <f t="shared" ca="1" si="11"/>
        <v>11</v>
      </c>
      <c r="E337" s="16">
        <v>30</v>
      </c>
      <c r="F337" s="16" t="s">
        <v>25</v>
      </c>
      <c r="G337" s="16" t="s">
        <v>50</v>
      </c>
      <c r="H337" s="16" t="s">
        <v>21</v>
      </c>
      <c r="I337" s="44" t="s">
        <v>621</v>
      </c>
      <c r="J337" s="17" t="s">
        <v>580</v>
      </c>
      <c r="K337" s="39" t="s">
        <v>583</v>
      </c>
      <c r="L337" s="2"/>
      <c r="M337" s="2"/>
      <c r="N337" s="2"/>
      <c r="O337" s="2"/>
      <c r="P337" s="2"/>
      <c r="Q337" s="2"/>
      <c r="R337" s="2"/>
      <c r="S337" s="2"/>
      <c r="T337" s="2"/>
      <c r="U337" s="2"/>
      <c r="V337" s="2"/>
      <c r="W337" s="2"/>
      <c r="X337" s="2"/>
      <c r="Y337" s="2"/>
      <c r="Z337" s="2"/>
      <c r="AA337" s="2"/>
      <c r="AB337" s="2"/>
      <c r="AC337" s="2"/>
      <c r="AD337" s="2"/>
      <c r="AE337" s="2"/>
    </row>
    <row r="338" spans="1:31" ht="22.5" customHeight="1" x14ac:dyDescent="0.25">
      <c r="A338" s="8">
        <f t="shared" si="10"/>
        <v>337</v>
      </c>
      <c r="B338" s="24" t="s">
        <v>572</v>
      </c>
      <c r="C338" s="29">
        <v>40073</v>
      </c>
      <c r="D338" s="45">
        <f t="shared" ca="1" si="11"/>
        <v>16</v>
      </c>
      <c r="E338" s="16">
        <v>38</v>
      </c>
      <c r="F338" s="16" t="s">
        <v>19</v>
      </c>
      <c r="G338" s="16" t="s">
        <v>37</v>
      </c>
      <c r="H338" s="16" t="s">
        <v>21</v>
      </c>
      <c r="I338" s="44" t="s">
        <v>621</v>
      </c>
      <c r="J338" s="17" t="s">
        <v>580</v>
      </c>
      <c r="K338" s="39" t="s">
        <v>583</v>
      </c>
      <c r="L338" s="2"/>
      <c r="M338" s="2"/>
      <c r="N338" s="2"/>
      <c r="O338" s="2"/>
      <c r="P338" s="2"/>
      <c r="Q338" s="2"/>
      <c r="R338" s="2"/>
      <c r="S338" s="2"/>
      <c r="T338" s="2"/>
      <c r="U338" s="2"/>
      <c r="V338" s="2"/>
      <c r="W338" s="2"/>
      <c r="X338" s="2"/>
      <c r="Y338" s="2"/>
      <c r="Z338" s="2"/>
      <c r="AA338" s="2"/>
      <c r="AB338" s="2"/>
      <c r="AC338" s="2"/>
      <c r="AD338" s="2"/>
      <c r="AE338" s="2"/>
    </row>
    <row r="339" spans="1:31" ht="22.5" customHeight="1" x14ac:dyDescent="0.25">
      <c r="A339" s="8">
        <f t="shared" si="10"/>
        <v>338</v>
      </c>
      <c r="B339" s="24" t="s">
        <v>535</v>
      </c>
      <c r="C339" s="27">
        <v>41336</v>
      </c>
      <c r="D339" s="45">
        <f t="shared" ca="1" si="11"/>
        <v>13</v>
      </c>
      <c r="E339" s="4">
        <v>40</v>
      </c>
      <c r="F339" s="4" t="s">
        <v>25</v>
      </c>
      <c r="G339" s="4" t="s">
        <v>32</v>
      </c>
      <c r="H339" s="4" t="s">
        <v>21</v>
      </c>
      <c r="I339" s="44" t="s">
        <v>620</v>
      </c>
      <c r="J339" s="5" t="s">
        <v>160</v>
      </c>
      <c r="K339" s="36" t="s">
        <v>161</v>
      </c>
      <c r="L339" s="2"/>
      <c r="M339" s="2"/>
      <c r="N339" s="2"/>
      <c r="O339" s="2"/>
      <c r="P339" s="2"/>
      <c r="Q339" s="2"/>
      <c r="R339" s="2"/>
      <c r="S339" s="2"/>
      <c r="T339" s="2"/>
      <c r="U339" s="2"/>
      <c r="V339" s="2"/>
      <c r="W339" s="2"/>
      <c r="X339" s="2"/>
      <c r="Y339" s="2"/>
      <c r="Z339" s="2"/>
      <c r="AA339" s="2"/>
      <c r="AB339" s="2"/>
      <c r="AC339" s="2"/>
      <c r="AD339" s="2"/>
      <c r="AE339" s="2"/>
    </row>
    <row r="340" spans="1:31" ht="22.5" customHeight="1" x14ac:dyDescent="0.25">
      <c r="A340" s="8">
        <f t="shared" si="10"/>
        <v>339</v>
      </c>
      <c r="B340" s="24" t="s">
        <v>294</v>
      </c>
      <c r="C340" s="27">
        <v>40520</v>
      </c>
      <c r="D340" s="45">
        <f t="shared" ca="1" si="11"/>
        <v>15</v>
      </c>
      <c r="E340" s="4">
        <v>58</v>
      </c>
      <c r="F340" s="4" t="s">
        <v>25</v>
      </c>
      <c r="G340" s="4" t="s">
        <v>39</v>
      </c>
      <c r="H340" s="4" t="s">
        <v>21</v>
      </c>
      <c r="I340" s="44" t="s">
        <v>622</v>
      </c>
      <c r="J340" s="5" t="s">
        <v>160</v>
      </c>
      <c r="K340" s="36" t="s">
        <v>161</v>
      </c>
      <c r="L340" s="2"/>
      <c r="M340" s="2"/>
      <c r="N340" s="2"/>
      <c r="O340" s="2"/>
      <c r="P340" s="2"/>
      <c r="Q340" s="2"/>
      <c r="R340" s="2"/>
      <c r="S340" s="2"/>
      <c r="T340" s="2"/>
      <c r="U340" s="2"/>
      <c r="V340" s="2"/>
      <c r="W340" s="2"/>
      <c r="X340" s="2"/>
      <c r="Y340" s="2"/>
      <c r="Z340" s="2"/>
      <c r="AA340" s="2"/>
      <c r="AB340" s="2"/>
      <c r="AC340" s="2"/>
      <c r="AD340" s="2"/>
      <c r="AE340" s="2"/>
    </row>
    <row r="341" spans="1:31" ht="22.5" customHeight="1" x14ac:dyDescent="0.25">
      <c r="A341" s="8">
        <f t="shared" si="10"/>
        <v>340</v>
      </c>
      <c r="B341" s="24" t="s">
        <v>159</v>
      </c>
      <c r="C341" s="27">
        <v>39038</v>
      </c>
      <c r="D341" s="45">
        <f t="shared" ca="1" si="11"/>
        <v>19</v>
      </c>
      <c r="E341" s="4">
        <v>50</v>
      </c>
      <c r="F341" s="4" t="s">
        <v>25</v>
      </c>
      <c r="G341" s="4" t="s">
        <v>37</v>
      </c>
      <c r="H341" s="4" t="s">
        <v>21</v>
      </c>
      <c r="I341" s="44" t="s">
        <v>621</v>
      </c>
      <c r="J341" s="5" t="s">
        <v>160</v>
      </c>
      <c r="K341" s="36" t="s">
        <v>161</v>
      </c>
      <c r="L341" s="2"/>
      <c r="M341" s="2"/>
      <c r="N341" s="2"/>
      <c r="O341" s="2"/>
      <c r="P341" s="2"/>
      <c r="Q341" s="2"/>
      <c r="R341" s="2"/>
      <c r="S341" s="2"/>
      <c r="T341" s="2"/>
      <c r="U341" s="2"/>
      <c r="V341" s="2"/>
      <c r="W341" s="2"/>
      <c r="X341" s="2"/>
      <c r="Y341" s="2"/>
      <c r="Z341" s="2"/>
      <c r="AA341" s="2"/>
      <c r="AB341" s="2"/>
      <c r="AC341" s="2"/>
      <c r="AD341" s="2"/>
      <c r="AE341" s="2"/>
    </row>
    <row r="342" spans="1:31" ht="22.5" customHeight="1" x14ac:dyDescent="0.25">
      <c r="A342" s="8">
        <f t="shared" si="10"/>
        <v>341</v>
      </c>
      <c r="B342" s="24" t="s">
        <v>296</v>
      </c>
      <c r="C342" s="27">
        <v>37905</v>
      </c>
      <c r="D342" s="45">
        <f t="shared" ca="1" si="11"/>
        <v>22</v>
      </c>
      <c r="E342" s="4">
        <v>52</v>
      </c>
      <c r="F342" s="4" t="s">
        <v>25</v>
      </c>
      <c r="G342" s="4" t="s">
        <v>26</v>
      </c>
      <c r="H342" s="4" t="s">
        <v>21</v>
      </c>
      <c r="I342" s="44" t="s">
        <v>622</v>
      </c>
      <c r="J342" s="5" t="s">
        <v>160</v>
      </c>
      <c r="K342" s="36" t="s">
        <v>161</v>
      </c>
      <c r="L342" s="2"/>
      <c r="M342" s="2"/>
      <c r="N342" s="2"/>
      <c r="O342" s="2"/>
      <c r="P342" s="2"/>
      <c r="Q342" s="2"/>
      <c r="R342" s="2"/>
      <c r="S342" s="2"/>
      <c r="T342" s="2"/>
      <c r="U342" s="2"/>
      <c r="V342" s="2"/>
      <c r="W342" s="2"/>
      <c r="X342" s="2"/>
      <c r="Y342" s="2"/>
      <c r="Z342" s="2"/>
      <c r="AA342" s="2"/>
      <c r="AB342" s="2"/>
      <c r="AC342" s="2"/>
      <c r="AD342" s="2"/>
      <c r="AE342" s="2"/>
    </row>
    <row r="343" spans="1:31" ht="22.5" customHeight="1" x14ac:dyDescent="0.25">
      <c r="A343" s="8">
        <f t="shared" si="10"/>
        <v>342</v>
      </c>
      <c r="B343" s="24" t="s">
        <v>261</v>
      </c>
      <c r="C343" s="27">
        <v>39421</v>
      </c>
      <c r="D343" s="45">
        <f t="shared" ca="1" si="11"/>
        <v>18</v>
      </c>
      <c r="E343" s="4">
        <v>60</v>
      </c>
      <c r="F343" s="4" t="s">
        <v>25</v>
      </c>
      <c r="G343" s="4" t="s">
        <v>26</v>
      </c>
      <c r="H343" s="4" t="s">
        <v>21</v>
      </c>
      <c r="I343" s="44" t="s">
        <v>622</v>
      </c>
      <c r="J343" s="5" t="s">
        <v>160</v>
      </c>
      <c r="K343" s="36" t="s">
        <v>161</v>
      </c>
      <c r="L343" s="2"/>
      <c r="M343" s="2"/>
      <c r="N343" s="2"/>
      <c r="O343" s="2"/>
      <c r="P343" s="2"/>
      <c r="Q343" s="2"/>
      <c r="R343" s="2"/>
      <c r="S343" s="2"/>
      <c r="T343" s="2"/>
      <c r="U343" s="2"/>
      <c r="V343" s="2"/>
      <c r="W343" s="2"/>
      <c r="X343" s="2"/>
      <c r="Y343" s="2"/>
      <c r="Z343" s="2"/>
      <c r="AA343" s="2"/>
      <c r="AB343" s="2"/>
      <c r="AC343" s="2"/>
      <c r="AD343" s="2"/>
      <c r="AE343" s="2"/>
    </row>
    <row r="344" spans="1:31" ht="22.5" customHeight="1" x14ac:dyDescent="0.25">
      <c r="A344" s="8">
        <f t="shared" si="10"/>
        <v>343</v>
      </c>
      <c r="B344" s="24" t="s">
        <v>263</v>
      </c>
      <c r="C344" s="27">
        <v>38417</v>
      </c>
      <c r="D344" s="45">
        <f t="shared" ca="1" si="11"/>
        <v>21</v>
      </c>
      <c r="E344" s="4">
        <v>58</v>
      </c>
      <c r="F344" s="4" t="s">
        <v>25</v>
      </c>
      <c r="G344" s="4" t="s">
        <v>26</v>
      </c>
      <c r="H344" s="4" t="s">
        <v>21</v>
      </c>
      <c r="I344" s="44" t="s">
        <v>620</v>
      </c>
      <c r="J344" s="5" t="s">
        <v>160</v>
      </c>
      <c r="K344" s="36" t="s">
        <v>161</v>
      </c>
      <c r="L344" s="2"/>
      <c r="M344" s="2"/>
      <c r="N344" s="2"/>
      <c r="O344" s="2"/>
      <c r="P344" s="2"/>
      <c r="Q344" s="2"/>
      <c r="R344" s="2"/>
      <c r="S344" s="2"/>
      <c r="T344" s="2"/>
      <c r="U344" s="2"/>
      <c r="V344" s="2"/>
      <c r="W344" s="2"/>
      <c r="X344" s="2"/>
      <c r="Y344" s="2"/>
      <c r="Z344" s="2"/>
      <c r="AA344" s="2"/>
      <c r="AB344" s="2"/>
      <c r="AC344" s="2"/>
      <c r="AD344" s="2"/>
      <c r="AE344" s="2"/>
    </row>
    <row r="345" spans="1:31" ht="22.5" customHeight="1" x14ac:dyDescent="0.25">
      <c r="A345" s="8">
        <f t="shared" si="10"/>
        <v>344</v>
      </c>
      <c r="B345" s="24" t="s">
        <v>265</v>
      </c>
      <c r="C345" s="27">
        <v>38346</v>
      </c>
      <c r="D345" s="45">
        <f t="shared" ca="1" si="11"/>
        <v>21</v>
      </c>
      <c r="E345" s="4">
        <v>65</v>
      </c>
      <c r="F345" s="4" t="s">
        <v>25</v>
      </c>
      <c r="G345" s="4" t="s">
        <v>37</v>
      </c>
      <c r="H345" s="4" t="s">
        <v>21</v>
      </c>
      <c r="I345" s="44" t="s">
        <v>620</v>
      </c>
      <c r="J345" s="5" t="s">
        <v>160</v>
      </c>
      <c r="K345" s="36" t="s">
        <v>161</v>
      </c>
      <c r="L345" s="2"/>
      <c r="M345" s="2"/>
      <c r="N345" s="2"/>
      <c r="O345" s="2"/>
      <c r="P345" s="2"/>
      <c r="Q345" s="2"/>
      <c r="R345" s="2"/>
      <c r="S345" s="2"/>
      <c r="T345" s="2"/>
      <c r="U345" s="2"/>
      <c r="V345" s="2"/>
      <c r="W345" s="2"/>
      <c r="X345" s="2"/>
      <c r="Y345" s="2"/>
      <c r="Z345" s="2"/>
      <c r="AA345" s="2"/>
      <c r="AB345" s="2"/>
      <c r="AC345" s="2"/>
      <c r="AD345" s="2"/>
      <c r="AE345" s="2"/>
    </row>
    <row r="346" spans="1:31" ht="22.5" customHeight="1" x14ac:dyDescent="0.25">
      <c r="A346" s="8">
        <f t="shared" si="10"/>
        <v>345</v>
      </c>
      <c r="B346" s="24" t="s">
        <v>262</v>
      </c>
      <c r="C346" s="27">
        <v>36197</v>
      </c>
      <c r="D346" s="45">
        <f t="shared" ca="1" si="11"/>
        <v>27</v>
      </c>
      <c r="E346" s="4">
        <v>73</v>
      </c>
      <c r="F346" s="4" t="s">
        <v>25</v>
      </c>
      <c r="G346" s="4" t="s">
        <v>26</v>
      </c>
      <c r="H346" s="4" t="s">
        <v>21</v>
      </c>
      <c r="I346" s="44" t="s">
        <v>621</v>
      </c>
      <c r="J346" s="5" t="s">
        <v>160</v>
      </c>
      <c r="K346" s="36" t="s">
        <v>161</v>
      </c>
      <c r="L346" s="2"/>
      <c r="M346" s="2"/>
      <c r="N346" s="2"/>
      <c r="O346" s="2"/>
      <c r="P346" s="2"/>
      <c r="Q346" s="2"/>
      <c r="R346" s="2"/>
      <c r="S346" s="2"/>
      <c r="T346" s="2"/>
      <c r="U346" s="2"/>
      <c r="V346" s="2"/>
      <c r="W346" s="2"/>
      <c r="X346" s="2"/>
      <c r="Y346" s="2"/>
      <c r="Z346" s="2"/>
      <c r="AA346" s="2"/>
      <c r="AB346" s="2"/>
      <c r="AC346" s="2"/>
      <c r="AD346" s="2"/>
      <c r="AE346" s="2"/>
    </row>
    <row r="347" spans="1:31" ht="22.5" customHeight="1" x14ac:dyDescent="0.25">
      <c r="A347" s="8">
        <f t="shared" si="10"/>
        <v>346</v>
      </c>
      <c r="B347" s="24" t="s">
        <v>186</v>
      </c>
      <c r="C347" s="27">
        <v>32774</v>
      </c>
      <c r="D347" s="45">
        <f t="shared" ca="1" si="11"/>
        <v>36</v>
      </c>
      <c r="E347" s="4">
        <v>74</v>
      </c>
      <c r="F347" s="4" t="s">
        <v>25</v>
      </c>
      <c r="G347" s="4" t="s">
        <v>37</v>
      </c>
      <c r="H347" s="4" t="s">
        <v>21</v>
      </c>
      <c r="I347" s="44" t="s">
        <v>621</v>
      </c>
      <c r="J347" s="5" t="s">
        <v>160</v>
      </c>
      <c r="K347" s="36" t="s">
        <v>161</v>
      </c>
      <c r="L347"/>
      <c r="M347"/>
      <c r="N347"/>
      <c r="O347"/>
      <c r="P347"/>
      <c r="V347" s="2"/>
    </row>
    <row r="348" spans="1:31" ht="22.5" customHeight="1" x14ac:dyDescent="0.25">
      <c r="A348" s="8">
        <f t="shared" si="10"/>
        <v>347</v>
      </c>
      <c r="B348" s="24" t="s">
        <v>207</v>
      </c>
      <c r="C348" s="27">
        <v>39064</v>
      </c>
      <c r="D348" s="45">
        <f t="shared" ca="1" si="11"/>
        <v>19</v>
      </c>
      <c r="E348" s="4">
        <v>50</v>
      </c>
      <c r="F348" s="4" t="s">
        <v>19</v>
      </c>
      <c r="G348" s="4" t="s">
        <v>86</v>
      </c>
      <c r="H348" s="4" t="s">
        <v>21</v>
      </c>
      <c r="I348" s="44" t="s">
        <v>620</v>
      </c>
      <c r="J348" s="5" t="s">
        <v>160</v>
      </c>
      <c r="K348" s="36" t="s">
        <v>161</v>
      </c>
      <c r="L348"/>
      <c r="M348"/>
      <c r="N348"/>
      <c r="O348"/>
      <c r="P348"/>
      <c r="V348" s="2"/>
    </row>
    <row r="349" spans="1:31" ht="22.5" customHeight="1" x14ac:dyDescent="0.25">
      <c r="A349" s="8">
        <f t="shared" si="10"/>
        <v>348</v>
      </c>
      <c r="B349" s="24" t="s">
        <v>260</v>
      </c>
      <c r="C349" s="27">
        <v>38787</v>
      </c>
      <c r="D349" s="45">
        <f t="shared" ca="1" si="11"/>
        <v>20</v>
      </c>
      <c r="E349" s="4">
        <v>50</v>
      </c>
      <c r="F349" s="4" t="s">
        <v>19</v>
      </c>
      <c r="G349" s="4" t="s">
        <v>32</v>
      </c>
      <c r="H349" s="4" t="s">
        <v>21</v>
      </c>
      <c r="I349" s="44" t="s">
        <v>622</v>
      </c>
      <c r="J349" s="5" t="s">
        <v>160</v>
      </c>
      <c r="K349" s="36" t="s">
        <v>161</v>
      </c>
      <c r="L349"/>
      <c r="M349"/>
      <c r="N349"/>
      <c r="O349"/>
      <c r="P349"/>
      <c r="V349" s="2"/>
    </row>
    <row r="350" spans="1:31" ht="22.5" customHeight="1" x14ac:dyDescent="0.25">
      <c r="A350" s="8">
        <f t="shared" si="10"/>
        <v>349</v>
      </c>
      <c r="B350" s="24" t="s">
        <v>306</v>
      </c>
      <c r="C350" s="27">
        <v>43340</v>
      </c>
      <c r="D350" s="45">
        <f t="shared" ca="1" si="11"/>
        <v>7</v>
      </c>
      <c r="E350" s="4">
        <v>25</v>
      </c>
      <c r="F350" s="4" t="s">
        <v>19</v>
      </c>
      <c r="G350" s="4" t="s">
        <v>39</v>
      </c>
      <c r="H350" s="4" t="s">
        <v>21</v>
      </c>
      <c r="I350" s="44" t="s">
        <v>621</v>
      </c>
      <c r="J350" s="5" t="s">
        <v>163</v>
      </c>
      <c r="K350" s="36" t="s">
        <v>164</v>
      </c>
      <c r="L350"/>
      <c r="M350"/>
      <c r="N350"/>
      <c r="O350"/>
      <c r="P350"/>
      <c r="V350" s="2"/>
    </row>
    <row r="351" spans="1:31" ht="22.5" customHeight="1" x14ac:dyDescent="0.25">
      <c r="A351" s="8">
        <f t="shared" si="10"/>
        <v>350</v>
      </c>
      <c r="B351" s="24" t="s">
        <v>243</v>
      </c>
      <c r="C351" s="27">
        <v>42946</v>
      </c>
      <c r="D351" s="45">
        <f t="shared" ca="1" si="11"/>
        <v>8</v>
      </c>
      <c r="E351" s="4">
        <v>37</v>
      </c>
      <c r="F351" s="4" t="s">
        <v>25</v>
      </c>
      <c r="G351" s="4" t="s">
        <v>50</v>
      </c>
      <c r="H351" s="4" t="s">
        <v>51</v>
      </c>
      <c r="I351" s="44" t="s">
        <v>622</v>
      </c>
      <c r="J351" s="5" t="s">
        <v>163</v>
      </c>
      <c r="K351" s="36" t="s">
        <v>164</v>
      </c>
      <c r="L351"/>
      <c r="M351"/>
      <c r="N351"/>
      <c r="O351"/>
      <c r="P351"/>
      <c r="V351" s="2"/>
    </row>
    <row r="352" spans="1:31" ht="22.5" customHeight="1" x14ac:dyDescent="0.25">
      <c r="A352" s="8">
        <f t="shared" si="10"/>
        <v>351</v>
      </c>
      <c r="B352" s="24" t="s">
        <v>308</v>
      </c>
      <c r="C352" s="27">
        <v>42613</v>
      </c>
      <c r="D352" s="45">
        <f t="shared" ca="1" si="11"/>
        <v>9</v>
      </c>
      <c r="E352" s="4">
        <v>37</v>
      </c>
      <c r="F352" s="4" t="s">
        <v>25</v>
      </c>
      <c r="G352" s="4" t="s">
        <v>39</v>
      </c>
      <c r="H352" s="4" t="s">
        <v>21</v>
      </c>
      <c r="I352" s="44" t="s">
        <v>622</v>
      </c>
      <c r="J352" s="5" t="s">
        <v>163</v>
      </c>
      <c r="K352" s="36" t="s">
        <v>164</v>
      </c>
      <c r="L352"/>
      <c r="M352"/>
      <c r="N352"/>
      <c r="O352"/>
      <c r="P352"/>
      <c r="V352" s="2"/>
    </row>
    <row r="353" spans="1:22" ht="22.5" customHeight="1" x14ac:dyDescent="0.25">
      <c r="A353" s="8">
        <f t="shared" si="10"/>
        <v>352</v>
      </c>
      <c r="B353" s="24" t="s">
        <v>305</v>
      </c>
      <c r="C353" s="27">
        <v>42422</v>
      </c>
      <c r="D353" s="45">
        <f t="shared" ca="1" si="11"/>
        <v>10</v>
      </c>
      <c r="E353" s="4">
        <v>41</v>
      </c>
      <c r="F353" s="4" t="s">
        <v>19</v>
      </c>
      <c r="G353" s="4" t="s">
        <v>42</v>
      </c>
      <c r="H353" s="4" t="s">
        <v>21</v>
      </c>
      <c r="I353" s="44" t="s">
        <v>620</v>
      </c>
      <c r="J353" s="5" t="s">
        <v>163</v>
      </c>
      <c r="K353" s="36" t="s">
        <v>164</v>
      </c>
      <c r="L353"/>
      <c r="M353"/>
      <c r="N353"/>
      <c r="O353"/>
      <c r="P353"/>
      <c r="V353" s="2"/>
    </row>
    <row r="354" spans="1:22" ht="22.5" customHeight="1" x14ac:dyDescent="0.25">
      <c r="A354" s="8">
        <f t="shared" si="10"/>
        <v>353</v>
      </c>
      <c r="B354" s="24" t="s">
        <v>220</v>
      </c>
      <c r="C354" s="27">
        <v>42200</v>
      </c>
      <c r="D354" s="45">
        <f t="shared" ca="1" si="11"/>
        <v>10</v>
      </c>
      <c r="E354" s="4">
        <v>34</v>
      </c>
      <c r="F354" s="4" t="s">
        <v>25</v>
      </c>
      <c r="G354" s="4" t="s">
        <v>32</v>
      </c>
      <c r="H354" s="4" t="s">
        <v>21</v>
      </c>
      <c r="I354" s="44" t="s">
        <v>620</v>
      </c>
      <c r="J354" s="5" t="s">
        <v>163</v>
      </c>
      <c r="K354" s="36" t="s">
        <v>164</v>
      </c>
      <c r="L354"/>
      <c r="M354"/>
      <c r="N354"/>
      <c r="O354"/>
      <c r="P354"/>
      <c r="V354" s="2"/>
    </row>
    <row r="355" spans="1:22" ht="22.5" customHeight="1" x14ac:dyDescent="0.25">
      <c r="A355" s="8">
        <f t="shared" si="10"/>
        <v>354</v>
      </c>
      <c r="B355" s="24" t="s">
        <v>167</v>
      </c>
      <c r="C355" s="27">
        <v>41935</v>
      </c>
      <c r="D355" s="45">
        <f t="shared" ca="1" si="11"/>
        <v>11</v>
      </c>
      <c r="E355" s="4">
        <v>40</v>
      </c>
      <c r="F355" s="4" t="s">
        <v>25</v>
      </c>
      <c r="G355" s="4" t="s">
        <v>39</v>
      </c>
      <c r="H355" s="4" t="s">
        <v>21</v>
      </c>
      <c r="I355" s="44" t="s">
        <v>621</v>
      </c>
      <c r="J355" s="5" t="s">
        <v>163</v>
      </c>
      <c r="K355" s="37" t="s">
        <v>164</v>
      </c>
      <c r="L355"/>
      <c r="M355"/>
      <c r="N355"/>
      <c r="O355"/>
      <c r="P355"/>
      <c r="V355" s="2"/>
    </row>
    <row r="356" spans="1:22" ht="22.5" customHeight="1" x14ac:dyDescent="0.25">
      <c r="A356" s="8">
        <f t="shared" si="10"/>
        <v>355</v>
      </c>
      <c r="B356" s="24" t="s">
        <v>213</v>
      </c>
      <c r="C356" s="27">
        <v>41836</v>
      </c>
      <c r="D356" s="45">
        <f t="shared" ca="1" si="11"/>
        <v>11</v>
      </c>
      <c r="E356" s="4">
        <v>52</v>
      </c>
      <c r="F356" s="4" t="s">
        <v>25</v>
      </c>
      <c r="G356" s="4" t="s">
        <v>39</v>
      </c>
      <c r="H356" s="4" t="s">
        <v>21</v>
      </c>
      <c r="I356" s="44" t="s">
        <v>621</v>
      </c>
      <c r="J356" s="5" t="s">
        <v>163</v>
      </c>
      <c r="K356" s="36" t="s">
        <v>164</v>
      </c>
      <c r="L356"/>
      <c r="M356"/>
      <c r="N356"/>
      <c r="O356"/>
      <c r="P356"/>
      <c r="V356" s="2"/>
    </row>
    <row r="357" spans="1:22" ht="22.5" customHeight="1" x14ac:dyDescent="0.25">
      <c r="A357" s="8">
        <f t="shared" si="10"/>
        <v>356</v>
      </c>
      <c r="B357" s="24" t="s">
        <v>165</v>
      </c>
      <c r="C357" s="27">
        <v>41657</v>
      </c>
      <c r="D357" s="45">
        <f t="shared" ca="1" si="11"/>
        <v>12</v>
      </c>
      <c r="E357" s="4">
        <v>35</v>
      </c>
      <c r="F357" s="4" t="s">
        <v>19</v>
      </c>
      <c r="G357" s="4" t="s">
        <v>20</v>
      </c>
      <c r="H357" s="4" t="s">
        <v>21</v>
      </c>
      <c r="I357" s="44" t="s">
        <v>620</v>
      </c>
      <c r="J357" s="5" t="s">
        <v>163</v>
      </c>
      <c r="K357" s="36" t="s">
        <v>164</v>
      </c>
      <c r="L357"/>
      <c r="M357"/>
      <c r="N357"/>
      <c r="O357"/>
      <c r="P357"/>
      <c r="V357" s="2"/>
    </row>
    <row r="358" spans="1:22" ht="22.5" customHeight="1" x14ac:dyDescent="0.25">
      <c r="A358" s="8">
        <f t="shared" si="10"/>
        <v>357</v>
      </c>
      <c r="B358" s="24" t="s">
        <v>166</v>
      </c>
      <c r="C358" s="27">
        <v>40959</v>
      </c>
      <c r="D358" s="45">
        <f t="shared" ca="1" si="11"/>
        <v>14</v>
      </c>
      <c r="E358" s="4">
        <v>32</v>
      </c>
      <c r="F358" s="4" t="s">
        <v>25</v>
      </c>
      <c r="G358" s="4" t="s">
        <v>42</v>
      </c>
      <c r="H358" s="4" t="s">
        <v>21</v>
      </c>
      <c r="I358" s="44" t="s">
        <v>622</v>
      </c>
      <c r="J358" s="5" t="s">
        <v>163</v>
      </c>
      <c r="K358" s="36" t="s">
        <v>164</v>
      </c>
      <c r="L358"/>
      <c r="M358"/>
      <c r="N358"/>
      <c r="O358"/>
      <c r="P358"/>
      <c r="V358" s="2"/>
    </row>
    <row r="359" spans="1:22" ht="22.5" customHeight="1" x14ac:dyDescent="0.25">
      <c r="A359" s="8">
        <f t="shared" si="10"/>
        <v>358</v>
      </c>
      <c r="B359" s="24" t="s">
        <v>197</v>
      </c>
      <c r="C359" s="27">
        <v>41119</v>
      </c>
      <c r="D359" s="45">
        <f t="shared" ca="1" si="11"/>
        <v>13</v>
      </c>
      <c r="E359" s="4">
        <v>40</v>
      </c>
      <c r="F359" s="4" t="s">
        <v>25</v>
      </c>
      <c r="G359" s="4" t="s">
        <v>42</v>
      </c>
      <c r="H359" s="4" t="s">
        <v>21</v>
      </c>
      <c r="I359" s="44" t="s">
        <v>621</v>
      </c>
      <c r="J359" s="5" t="s">
        <v>163</v>
      </c>
      <c r="K359" s="36" t="s">
        <v>164</v>
      </c>
      <c r="L359"/>
      <c r="M359"/>
      <c r="N359"/>
      <c r="O359"/>
      <c r="P359"/>
      <c r="V359" s="2"/>
    </row>
    <row r="360" spans="1:22" ht="22.5" customHeight="1" x14ac:dyDescent="0.25">
      <c r="A360" s="8">
        <f t="shared" si="10"/>
        <v>359</v>
      </c>
      <c r="B360" s="24" t="s">
        <v>162</v>
      </c>
      <c r="C360" s="27">
        <v>41205</v>
      </c>
      <c r="D360" s="45">
        <f t="shared" ca="1" si="11"/>
        <v>13</v>
      </c>
      <c r="E360" s="4">
        <v>41</v>
      </c>
      <c r="F360" s="4" t="s">
        <v>25</v>
      </c>
      <c r="G360" s="4" t="s">
        <v>39</v>
      </c>
      <c r="H360" s="4" t="s">
        <v>21</v>
      </c>
      <c r="I360" s="44" t="s">
        <v>622</v>
      </c>
      <c r="J360" s="5" t="s">
        <v>163</v>
      </c>
      <c r="K360" s="36" t="s">
        <v>164</v>
      </c>
      <c r="L360"/>
      <c r="M360"/>
      <c r="N360"/>
      <c r="O360"/>
      <c r="P360"/>
      <c r="V360" s="2"/>
    </row>
    <row r="361" spans="1:22" ht="22.5" customHeight="1" x14ac:dyDescent="0.25">
      <c r="A361" s="8">
        <f t="shared" si="10"/>
        <v>360</v>
      </c>
      <c r="B361" s="24" t="s">
        <v>196</v>
      </c>
      <c r="C361" s="27">
        <v>40918</v>
      </c>
      <c r="D361" s="45">
        <f t="shared" ca="1" si="11"/>
        <v>14</v>
      </c>
      <c r="E361" s="4">
        <v>42</v>
      </c>
      <c r="F361" s="4" t="s">
        <v>25</v>
      </c>
      <c r="G361" s="4" t="s">
        <v>42</v>
      </c>
      <c r="H361" s="4" t="s">
        <v>21</v>
      </c>
      <c r="I361" s="44" t="s">
        <v>622</v>
      </c>
      <c r="J361" s="5" t="s">
        <v>163</v>
      </c>
      <c r="K361" s="36" t="s">
        <v>164</v>
      </c>
      <c r="L361"/>
      <c r="M361"/>
      <c r="N361"/>
      <c r="O361"/>
      <c r="P361"/>
      <c r="V361" s="2"/>
    </row>
    <row r="362" spans="1:22" ht="22.5" customHeight="1" x14ac:dyDescent="0.25">
      <c r="A362" s="8">
        <f t="shared" si="10"/>
        <v>361</v>
      </c>
      <c r="B362" s="24" t="s">
        <v>307</v>
      </c>
      <c r="C362" s="27">
        <v>41090</v>
      </c>
      <c r="D362" s="45">
        <f t="shared" ca="1" si="11"/>
        <v>13</v>
      </c>
      <c r="E362" s="4">
        <v>50</v>
      </c>
      <c r="F362" s="4" t="s">
        <v>25</v>
      </c>
      <c r="G362" s="4" t="s">
        <v>20</v>
      </c>
      <c r="H362" s="4" t="s">
        <v>21</v>
      </c>
      <c r="I362" s="44" t="s">
        <v>620</v>
      </c>
      <c r="J362" s="5" t="s">
        <v>163</v>
      </c>
      <c r="K362" s="36" t="s">
        <v>164</v>
      </c>
      <c r="L362"/>
      <c r="M362"/>
      <c r="N362"/>
      <c r="O362"/>
      <c r="P362"/>
      <c r="V362" s="2"/>
    </row>
    <row r="363" spans="1:22" ht="22.5" customHeight="1" x14ac:dyDescent="0.25">
      <c r="A363" s="8">
        <f t="shared" si="10"/>
        <v>362</v>
      </c>
      <c r="B363" s="24" t="s">
        <v>215</v>
      </c>
      <c r="C363" s="27">
        <v>40927</v>
      </c>
      <c r="D363" s="45">
        <f t="shared" ca="1" si="11"/>
        <v>14</v>
      </c>
      <c r="E363" s="4">
        <v>62</v>
      </c>
      <c r="F363" s="4" t="s">
        <v>25</v>
      </c>
      <c r="G363" s="4" t="s">
        <v>20</v>
      </c>
      <c r="H363" s="4" t="s">
        <v>21</v>
      </c>
      <c r="I363" s="44" t="s">
        <v>620</v>
      </c>
      <c r="J363" s="5" t="s">
        <v>163</v>
      </c>
      <c r="K363" s="36" t="s">
        <v>164</v>
      </c>
      <c r="L363"/>
      <c r="M363"/>
      <c r="N363"/>
      <c r="O363"/>
      <c r="P363"/>
      <c r="V363" s="2"/>
    </row>
    <row r="364" spans="1:22" ht="22.5" customHeight="1" x14ac:dyDescent="0.25">
      <c r="A364" s="8">
        <f t="shared" si="10"/>
        <v>363</v>
      </c>
      <c r="B364" s="24" t="s">
        <v>148</v>
      </c>
      <c r="C364" s="27">
        <v>43710</v>
      </c>
      <c r="D364" s="45">
        <f t="shared" ca="1" si="11"/>
        <v>6</v>
      </c>
      <c r="E364" s="4">
        <v>17</v>
      </c>
      <c r="F364" s="4" t="s">
        <v>19</v>
      </c>
      <c r="G364" s="4" t="s">
        <v>28</v>
      </c>
      <c r="H364" s="4" t="s">
        <v>21</v>
      </c>
      <c r="I364" s="44" t="s">
        <v>621</v>
      </c>
      <c r="J364" s="5" t="s">
        <v>143</v>
      </c>
      <c r="K364" s="36" t="s">
        <v>144</v>
      </c>
      <c r="L364"/>
      <c r="M364"/>
      <c r="N364"/>
      <c r="O364"/>
      <c r="P364"/>
      <c r="V364" s="2"/>
    </row>
    <row r="365" spans="1:22" ht="22.5" customHeight="1" x14ac:dyDescent="0.25">
      <c r="A365" s="8">
        <f t="shared" si="10"/>
        <v>364</v>
      </c>
      <c r="B365" s="24" t="s">
        <v>291</v>
      </c>
      <c r="C365" s="27">
        <v>43332</v>
      </c>
      <c r="D365" s="45">
        <f t="shared" ca="1" si="11"/>
        <v>7</v>
      </c>
      <c r="E365" s="4">
        <v>22</v>
      </c>
      <c r="F365" s="4" t="s">
        <v>19</v>
      </c>
      <c r="G365" s="4" t="s">
        <v>28</v>
      </c>
      <c r="H365" s="4" t="s">
        <v>21</v>
      </c>
      <c r="I365" s="44" t="s">
        <v>621</v>
      </c>
      <c r="J365" s="5" t="s">
        <v>143</v>
      </c>
      <c r="K365" s="36" t="s">
        <v>144</v>
      </c>
      <c r="L365"/>
      <c r="M365"/>
      <c r="N365"/>
      <c r="O365"/>
      <c r="P365"/>
      <c r="V365" s="2"/>
    </row>
    <row r="366" spans="1:22" ht="22.5" customHeight="1" x14ac:dyDescent="0.25">
      <c r="A366" s="8">
        <f t="shared" si="10"/>
        <v>365</v>
      </c>
      <c r="B366" s="24" t="s">
        <v>145</v>
      </c>
      <c r="C366" s="27">
        <v>43084</v>
      </c>
      <c r="D366" s="45">
        <f t="shared" ca="1" si="11"/>
        <v>8</v>
      </c>
      <c r="E366" s="4">
        <v>21</v>
      </c>
      <c r="F366" s="4" t="s">
        <v>25</v>
      </c>
      <c r="G366" s="4" t="s">
        <v>50</v>
      </c>
      <c r="H366" s="4" t="s">
        <v>21</v>
      </c>
      <c r="I366" s="44" t="s">
        <v>620</v>
      </c>
      <c r="J366" s="5" t="s">
        <v>143</v>
      </c>
      <c r="K366" s="36" t="s">
        <v>144</v>
      </c>
      <c r="L366"/>
      <c r="M366"/>
      <c r="N366"/>
      <c r="O366"/>
      <c r="P366"/>
      <c r="V366" s="2"/>
    </row>
    <row r="367" spans="1:22" ht="22.5" customHeight="1" x14ac:dyDescent="0.25">
      <c r="A367" s="8">
        <f t="shared" si="10"/>
        <v>366</v>
      </c>
      <c r="B367" s="24" t="s">
        <v>227</v>
      </c>
      <c r="C367" s="27">
        <v>43092</v>
      </c>
      <c r="D367" s="45">
        <f t="shared" ca="1" si="11"/>
        <v>8</v>
      </c>
      <c r="E367" s="4">
        <v>19</v>
      </c>
      <c r="F367" s="4" t="s">
        <v>19</v>
      </c>
      <c r="G367" s="4" t="s">
        <v>50</v>
      </c>
      <c r="H367" s="4" t="s">
        <v>21</v>
      </c>
      <c r="I367" s="44" t="s">
        <v>622</v>
      </c>
      <c r="J367" s="5" t="s">
        <v>143</v>
      </c>
      <c r="K367" s="36" t="s">
        <v>144</v>
      </c>
      <c r="L367"/>
      <c r="M367"/>
      <c r="N367"/>
      <c r="O367"/>
      <c r="P367"/>
      <c r="V367" s="2"/>
    </row>
    <row r="368" spans="1:22" ht="22.5" customHeight="1" x14ac:dyDescent="0.25">
      <c r="A368" s="8">
        <f t="shared" si="10"/>
        <v>367</v>
      </c>
      <c r="B368" s="24" t="s">
        <v>532</v>
      </c>
      <c r="C368" s="27">
        <v>42934</v>
      </c>
      <c r="D368" s="45">
        <f t="shared" ca="1" si="11"/>
        <v>8</v>
      </c>
      <c r="E368" s="4">
        <v>22</v>
      </c>
      <c r="F368" s="4" t="s">
        <v>19</v>
      </c>
      <c r="G368" s="4" t="s">
        <v>28</v>
      </c>
      <c r="H368" s="4" t="s">
        <v>21</v>
      </c>
      <c r="I368" s="44" t="s">
        <v>621</v>
      </c>
      <c r="J368" s="5" t="s">
        <v>143</v>
      </c>
      <c r="K368" s="36" t="s">
        <v>144</v>
      </c>
      <c r="L368"/>
      <c r="M368"/>
      <c r="N368"/>
      <c r="O368"/>
      <c r="P368"/>
      <c r="V368" s="2"/>
    </row>
    <row r="369" spans="1:22" ht="22.5" customHeight="1" x14ac:dyDescent="0.25">
      <c r="A369" s="8">
        <f t="shared" si="10"/>
        <v>368</v>
      </c>
      <c r="B369" s="24" t="s">
        <v>146</v>
      </c>
      <c r="C369" s="27">
        <v>42514</v>
      </c>
      <c r="D369" s="45">
        <f t="shared" ca="1" si="11"/>
        <v>9</v>
      </c>
      <c r="E369" s="4">
        <v>48</v>
      </c>
      <c r="F369" s="4" t="s">
        <v>25</v>
      </c>
      <c r="G369" s="4" t="s">
        <v>28</v>
      </c>
      <c r="H369" s="4" t="s">
        <v>21</v>
      </c>
      <c r="I369" s="44" t="s">
        <v>622</v>
      </c>
      <c r="J369" s="5" t="s">
        <v>143</v>
      </c>
      <c r="K369" s="36" t="s">
        <v>144</v>
      </c>
      <c r="L369"/>
      <c r="M369"/>
      <c r="N369"/>
      <c r="O369"/>
      <c r="P369"/>
      <c r="V369" s="2"/>
    </row>
    <row r="370" spans="1:22" ht="22.5" customHeight="1" x14ac:dyDescent="0.25">
      <c r="A370" s="8">
        <f t="shared" si="10"/>
        <v>369</v>
      </c>
      <c r="B370" s="24" t="s">
        <v>149</v>
      </c>
      <c r="C370" s="27">
        <v>42257</v>
      </c>
      <c r="D370" s="45">
        <f t="shared" ca="1" si="11"/>
        <v>10</v>
      </c>
      <c r="E370" s="4">
        <v>40</v>
      </c>
      <c r="F370" s="4" t="s">
        <v>25</v>
      </c>
      <c r="G370" s="4" t="s">
        <v>20</v>
      </c>
      <c r="H370" s="4" t="s">
        <v>21</v>
      </c>
      <c r="I370" s="44" t="s">
        <v>622</v>
      </c>
      <c r="J370" s="5" t="s">
        <v>143</v>
      </c>
      <c r="K370" s="36" t="s">
        <v>144</v>
      </c>
      <c r="L370"/>
      <c r="M370"/>
      <c r="N370"/>
      <c r="O370"/>
      <c r="P370"/>
      <c r="V370" s="2"/>
    </row>
    <row r="371" spans="1:22" ht="22.5" customHeight="1" x14ac:dyDescent="0.25">
      <c r="A371" s="8">
        <f t="shared" si="10"/>
        <v>370</v>
      </c>
      <c r="B371" s="24" t="s">
        <v>158</v>
      </c>
      <c r="C371" s="27">
        <v>42249</v>
      </c>
      <c r="D371" s="45">
        <f t="shared" ca="1" si="11"/>
        <v>10</v>
      </c>
      <c r="E371" s="4">
        <v>42</v>
      </c>
      <c r="F371" s="4" t="s">
        <v>19</v>
      </c>
      <c r="G371" s="4" t="s">
        <v>50</v>
      </c>
      <c r="H371" s="4" t="s">
        <v>21</v>
      </c>
      <c r="I371" s="44" t="s">
        <v>620</v>
      </c>
      <c r="J371" s="5" t="s">
        <v>143</v>
      </c>
      <c r="K371" s="36" t="s">
        <v>144</v>
      </c>
      <c r="L371"/>
      <c r="M371"/>
      <c r="N371"/>
      <c r="O371"/>
      <c r="P371"/>
      <c r="V371" s="2"/>
    </row>
    <row r="372" spans="1:22" ht="22.5" customHeight="1" x14ac:dyDescent="0.25">
      <c r="A372" s="8">
        <f t="shared" si="10"/>
        <v>371</v>
      </c>
      <c r="B372" s="24" t="s">
        <v>142</v>
      </c>
      <c r="C372" s="27">
        <v>42026</v>
      </c>
      <c r="D372" s="45">
        <f t="shared" ca="1" si="11"/>
        <v>11</v>
      </c>
      <c r="E372" s="4">
        <v>45</v>
      </c>
      <c r="F372" s="4" t="s">
        <v>19</v>
      </c>
      <c r="G372" s="4" t="s">
        <v>61</v>
      </c>
      <c r="H372" s="4" t="s">
        <v>21</v>
      </c>
      <c r="I372" s="44" t="s">
        <v>620</v>
      </c>
      <c r="J372" s="5" t="s">
        <v>143</v>
      </c>
      <c r="K372" s="36" t="s">
        <v>144</v>
      </c>
      <c r="L372"/>
      <c r="M372"/>
      <c r="N372"/>
      <c r="O372"/>
      <c r="P372"/>
      <c r="V372" s="2"/>
    </row>
    <row r="373" spans="1:22" ht="22.5" customHeight="1" x14ac:dyDescent="0.25">
      <c r="A373" s="8">
        <f t="shared" si="10"/>
        <v>372</v>
      </c>
      <c r="B373" s="24" t="s">
        <v>285</v>
      </c>
      <c r="C373" s="27">
        <v>41773</v>
      </c>
      <c r="D373" s="45">
        <f t="shared" ca="1" si="11"/>
        <v>11</v>
      </c>
      <c r="E373" s="4">
        <v>28</v>
      </c>
      <c r="F373" s="4" t="s">
        <v>25</v>
      </c>
      <c r="G373" s="4" t="s">
        <v>28</v>
      </c>
      <c r="H373" s="4" t="s">
        <v>21</v>
      </c>
      <c r="I373" s="44" t="s">
        <v>621</v>
      </c>
      <c r="J373" s="5" t="s">
        <v>143</v>
      </c>
      <c r="K373" s="36" t="s">
        <v>144</v>
      </c>
      <c r="L373"/>
      <c r="M373"/>
      <c r="N373"/>
      <c r="O373"/>
      <c r="P373"/>
      <c r="V373" s="2"/>
    </row>
    <row r="374" spans="1:22" ht="22.5" customHeight="1" x14ac:dyDescent="0.25">
      <c r="A374" s="8">
        <f t="shared" si="10"/>
        <v>373</v>
      </c>
      <c r="B374" s="24" t="s">
        <v>147</v>
      </c>
      <c r="C374" s="27">
        <v>41468</v>
      </c>
      <c r="D374" s="45">
        <f t="shared" ca="1" si="11"/>
        <v>12</v>
      </c>
      <c r="E374" s="4">
        <v>35</v>
      </c>
      <c r="F374" s="4" t="s">
        <v>19</v>
      </c>
      <c r="G374" s="4" t="s">
        <v>28</v>
      </c>
      <c r="H374" s="4" t="s">
        <v>21</v>
      </c>
      <c r="I374" s="44" t="s">
        <v>621</v>
      </c>
      <c r="J374" s="5" t="s">
        <v>143</v>
      </c>
      <c r="K374" s="36" t="s">
        <v>144</v>
      </c>
      <c r="L374"/>
      <c r="M374"/>
      <c r="N374"/>
      <c r="O374"/>
      <c r="P374"/>
      <c r="V374" s="2"/>
    </row>
    <row r="375" spans="1:22" ht="22.5" customHeight="1" x14ac:dyDescent="0.25">
      <c r="A375" s="8">
        <f t="shared" si="10"/>
        <v>374</v>
      </c>
      <c r="B375" s="24" t="s">
        <v>151</v>
      </c>
      <c r="C375" s="27">
        <v>41515</v>
      </c>
      <c r="D375" s="45">
        <f t="shared" ca="1" si="11"/>
        <v>12</v>
      </c>
      <c r="E375" s="4">
        <v>56</v>
      </c>
      <c r="F375" s="4" t="s">
        <v>19</v>
      </c>
      <c r="G375" s="4" t="s">
        <v>28</v>
      </c>
      <c r="H375" s="4" t="s">
        <v>21</v>
      </c>
      <c r="I375" s="44" t="s">
        <v>620</v>
      </c>
      <c r="J375" s="5" t="s">
        <v>143</v>
      </c>
      <c r="K375" s="36" t="s">
        <v>144</v>
      </c>
      <c r="L375"/>
      <c r="M375"/>
      <c r="N375"/>
      <c r="O375"/>
      <c r="P375"/>
      <c r="V375" s="2"/>
    </row>
    <row r="376" spans="1:22" ht="22.5" customHeight="1" x14ac:dyDescent="0.25">
      <c r="A376" s="8">
        <f t="shared" si="10"/>
        <v>375</v>
      </c>
      <c r="B376" s="24" t="s">
        <v>173</v>
      </c>
      <c r="C376" s="27">
        <v>41081</v>
      </c>
      <c r="D376" s="45">
        <f t="shared" ca="1" si="11"/>
        <v>13</v>
      </c>
      <c r="E376" s="4">
        <v>32</v>
      </c>
      <c r="F376" s="4" t="s">
        <v>25</v>
      </c>
      <c r="G376" s="4" t="s">
        <v>28</v>
      </c>
      <c r="H376" s="4" t="s">
        <v>21</v>
      </c>
      <c r="I376" s="44" t="s">
        <v>622</v>
      </c>
      <c r="J376" s="5" t="s">
        <v>143</v>
      </c>
      <c r="K376" s="36" t="s">
        <v>144</v>
      </c>
      <c r="L376"/>
      <c r="M376"/>
      <c r="N376"/>
      <c r="O376"/>
      <c r="P376"/>
      <c r="V376" s="2"/>
    </row>
    <row r="377" spans="1:22" ht="22.5" customHeight="1" x14ac:dyDescent="0.25">
      <c r="A377" s="8">
        <f t="shared" si="10"/>
        <v>376</v>
      </c>
      <c r="B377" s="24" t="s">
        <v>150</v>
      </c>
      <c r="C377" s="27">
        <v>40732</v>
      </c>
      <c r="D377" s="45">
        <f t="shared" ca="1" si="11"/>
        <v>14</v>
      </c>
      <c r="E377" s="4">
        <v>48</v>
      </c>
      <c r="F377" s="4" t="s">
        <v>25</v>
      </c>
      <c r="G377" s="4" t="s">
        <v>34</v>
      </c>
      <c r="H377" s="4" t="s">
        <v>21</v>
      </c>
      <c r="I377" s="44" t="s">
        <v>621</v>
      </c>
      <c r="J377" s="5" t="s">
        <v>143</v>
      </c>
      <c r="K377" s="36" t="s">
        <v>144</v>
      </c>
      <c r="L377"/>
      <c r="M377"/>
      <c r="N377"/>
      <c r="O377"/>
      <c r="P377"/>
      <c r="V377" s="2"/>
    </row>
    <row r="378" spans="1:22" ht="22.5" customHeight="1" x14ac:dyDescent="0.25">
      <c r="A378" s="8">
        <f t="shared" si="10"/>
        <v>377</v>
      </c>
      <c r="B378" s="24" t="s">
        <v>527</v>
      </c>
      <c r="C378" s="27">
        <v>37652</v>
      </c>
      <c r="D378" s="45">
        <f t="shared" ca="1" si="11"/>
        <v>23</v>
      </c>
      <c r="E378" s="4">
        <v>42</v>
      </c>
      <c r="F378" s="4" t="s">
        <v>19</v>
      </c>
      <c r="G378" s="4" t="s">
        <v>37</v>
      </c>
      <c r="H378" s="4" t="s">
        <v>21</v>
      </c>
      <c r="I378" s="44" t="s">
        <v>622</v>
      </c>
      <c r="J378" s="5" t="s">
        <v>143</v>
      </c>
      <c r="K378" s="36" t="s">
        <v>144</v>
      </c>
      <c r="L378"/>
      <c r="M378"/>
      <c r="N378"/>
      <c r="O378"/>
      <c r="P378"/>
      <c r="V378" s="2"/>
    </row>
    <row r="379" spans="1:22" ht="22.5" customHeight="1" x14ac:dyDescent="0.25">
      <c r="A379" s="8">
        <f t="shared" si="10"/>
        <v>378</v>
      </c>
      <c r="B379" s="24" t="s">
        <v>489</v>
      </c>
      <c r="C379" s="27">
        <v>43104</v>
      </c>
      <c r="D379" s="45">
        <f t="shared" ca="1" si="11"/>
        <v>8</v>
      </c>
      <c r="E379" s="4">
        <v>24</v>
      </c>
      <c r="F379" s="4" t="s">
        <v>25</v>
      </c>
      <c r="G379" s="4" t="s">
        <v>42</v>
      </c>
      <c r="H379" s="4" t="s">
        <v>21</v>
      </c>
      <c r="I379" s="44" t="s">
        <v>622</v>
      </c>
      <c r="J379" s="5" t="s">
        <v>211</v>
      </c>
      <c r="K379" s="36" t="s">
        <v>450</v>
      </c>
      <c r="L379"/>
      <c r="M379"/>
      <c r="N379"/>
      <c r="O379"/>
      <c r="P379"/>
      <c r="V379" s="2"/>
    </row>
    <row r="380" spans="1:22" ht="22.5" customHeight="1" x14ac:dyDescent="0.25">
      <c r="A380" s="8">
        <f t="shared" si="10"/>
        <v>379</v>
      </c>
      <c r="B380" s="24" t="s">
        <v>453</v>
      </c>
      <c r="C380" s="27">
        <v>43199</v>
      </c>
      <c r="D380" s="45">
        <f t="shared" ca="1" si="11"/>
        <v>7</v>
      </c>
      <c r="E380" s="4">
        <v>24</v>
      </c>
      <c r="F380" s="4" t="s">
        <v>25</v>
      </c>
      <c r="G380" s="4" t="s">
        <v>42</v>
      </c>
      <c r="H380" s="4" t="s">
        <v>21</v>
      </c>
      <c r="I380" s="44" t="s">
        <v>620</v>
      </c>
      <c r="J380" s="5" t="s">
        <v>211</v>
      </c>
      <c r="K380" s="36" t="s">
        <v>450</v>
      </c>
      <c r="L380"/>
      <c r="M380"/>
      <c r="N380"/>
      <c r="O380"/>
      <c r="P380"/>
      <c r="V380" s="2"/>
    </row>
    <row r="381" spans="1:22" ht="22.5" customHeight="1" x14ac:dyDescent="0.25">
      <c r="A381" s="8">
        <f t="shared" si="10"/>
        <v>380</v>
      </c>
      <c r="B381" s="24" t="s">
        <v>477</v>
      </c>
      <c r="C381" s="27">
        <v>43100</v>
      </c>
      <c r="D381" s="45">
        <f t="shared" ca="1" si="11"/>
        <v>8</v>
      </c>
      <c r="E381" s="4">
        <v>21</v>
      </c>
      <c r="F381" s="4" t="s">
        <v>19</v>
      </c>
      <c r="G381" s="4" t="s">
        <v>28</v>
      </c>
      <c r="H381" s="4" t="s">
        <v>21</v>
      </c>
      <c r="I381" s="44" t="s">
        <v>620</v>
      </c>
      <c r="J381" s="5" t="s">
        <v>211</v>
      </c>
      <c r="K381" s="36" t="s">
        <v>450</v>
      </c>
      <c r="L381"/>
      <c r="M381"/>
      <c r="N381"/>
      <c r="O381"/>
      <c r="P381"/>
      <c r="V381" s="2"/>
    </row>
    <row r="382" spans="1:22" ht="22.5" customHeight="1" x14ac:dyDescent="0.25">
      <c r="A382" s="8">
        <f t="shared" si="10"/>
        <v>381</v>
      </c>
      <c r="B382" s="24" t="s">
        <v>475</v>
      </c>
      <c r="C382" s="27">
        <v>43029</v>
      </c>
      <c r="D382" s="45">
        <f t="shared" ca="1" si="11"/>
        <v>8</v>
      </c>
      <c r="E382" s="4">
        <v>22</v>
      </c>
      <c r="F382" s="4" t="s">
        <v>19</v>
      </c>
      <c r="G382" s="4" t="s">
        <v>34</v>
      </c>
      <c r="H382" s="4" t="s">
        <v>21</v>
      </c>
      <c r="I382" s="44" t="s">
        <v>621</v>
      </c>
      <c r="J382" s="5" t="s">
        <v>211</v>
      </c>
      <c r="K382" s="36" t="s">
        <v>450</v>
      </c>
      <c r="L382"/>
      <c r="M382"/>
      <c r="N382"/>
      <c r="O382"/>
      <c r="P382"/>
      <c r="V382" s="2"/>
    </row>
    <row r="383" spans="1:22" ht="22.5" customHeight="1" x14ac:dyDescent="0.25">
      <c r="A383" s="8">
        <f t="shared" si="10"/>
        <v>382</v>
      </c>
      <c r="B383" s="24" t="s">
        <v>472</v>
      </c>
      <c r="C383" s="27">
        <v>42949</v>
      </c>
      <c r="D383" s="45">
        <f t="shared" ca="1" si="11"/>
        <v>8</v>
      </c>
      <c r="E383" s="4">
        <v>25</v>
      </c>
      <c r="F383" s="4" t="s">
        <v>19</v>
      </c>
      <c r="G383" s="4" t="s">
        <v>34</v>
      </c>
      <c r="H383" s="4" t="s">
        <v>21</v>
      </c>
      <c r="I383" s="44" t="s">
        <v>621</v>
      </c>
      <c r="J383" s="5" t="s">
        <v>211</v>
      </c>
      <c r="K383" s="36" t="s">
        <v>450</v>
      </c>
      <c r="L383"/>
      <c r="M383"/>
      <c r="N383"/>
      <c r="O383"/>
      <c r="P383"/>
      <c r="V383" s="2"/>
    </row>
    <row r="384" spans="1:22" ht="22.5" customHeight="1" x14ac:dyDescent="0.25">
      <c r="A384" s="8">
        <f t="shared" si="10"/>
        <v>383</v>
      </c>
      <c r="B384" s="24" t="s">
        <v>481</v>
      </c>
      <c r="C384" s="27">
        <v>42746</v>
      </c>
      <c r="D384" s="45">
        <f t="shared" ca="1" si="11"/>
        <v>9</v>
      </c>
      <c r="E384" s="4">
        <v>28</v>
      </c>
      <c r="F384" s="4" t="s">
        <v>19</v>
      </c>
      <c r="G384" s="4" t="s">
        <v>34</v>
      </c>
      <c r="H384" s="4" t="s">
        <v>21</v>
      </c>
      <c r="I384" s="44" t="s">
        <v>620</v>
      </c>
      <c r="J384" s="5" t="s">
        <v>211</v>
      </c>
      <c r="K384" s="36" t="s">
        <v>450</v>
      </c>
      <c r="L384"/>
      <c r="M384"/>
      <c r="N384"/>
      <c r="O384"/>
      <c r="P384"/>
      <c r="V384" s="2"/>
    </row>
    <row r="385" spans="1:22" ht="22.5" customHeight="1" x14ac:dyDescent="0.25">
      <c r="A385" s="8">
        <f t="shared" si="10"/>
        <v>384</v>
      </c>
      <c r="B385" s="24" t="s">
        <v>480</v>
      </c>
      <c r="C385" s="27">
        <v>42734</v>
      </c>
      <c r="D385" s="45">
        <f t="shared" ca="1" si="11"/>
        <v>9</v>
      </c>
      <c r="E385" s="4">
        <v>30</v>
      </c>
      <c r="F385" s="4" t="s">
        <v>19</v>
      </c>
      <c r="G385" s="4" t="s">
        <v>34</v>
      </c>
      <c r="H385" s="4" t="s">
        <v>21</v>
      </c>
      <c r="I385" s="44" t="s">
        <v>622</v>
      </c>
      <c r="J385" s="5" t="s">
        <v>211</v>
      </c>
      <c r="K385" s="36" t="s">
        <v>450</v>
      </c>
      <c r="L385"/>
      <c r="M385"/>
      <c r="N385"/>
      <c r="O385"/>
      <c r="P385"/>
      <c r="V385" s="2"/>
    </row>
    <row r="386" spans="1:22" ht="22.5" customHeight="1" x14ac:dyDescent="0.25">
      <c r="A386" s="8">
        <f t="shared" si="10"/>
        <v>385</v>
      </c>
      <c r="B386" s="24" t="s">
        <v>476</v>
      </c>
      <c r="C386" s="27">
        <v>42715</v>
      </c>
      <c r="D386" s="45">
        <f t="shared" ca="1" si="11"/>
        <v>9</v>
      </c>
      <c r="E386" s="4">
        <v>22</v>
      </c>
      <c r="F386" s="4" t="s">
        <v>25</v>
      </c>
      <c r="G386" s="4" t="s">
        <v>28</v>
      </c>
      <c r="H386" s="4" t="s">
        <v>21</v>
      </c>
      <c r="I386" s="44" t="s">
        <v>621</v>
      </c>
      <c r="J386" s="5" t="s">
        <v>211</v>
      </c>
      <c r="K386" s="36" t="s">
        <v>450</v>
      </c>
      <c r="L386"/>
      <c r="M386"/>
      <c r="N386"/>
      <c r="O386"/>
      <c r="P386"/>
      <c r="V386" s="2"/>
    </row>
    <row r="387" spans="1:22" ht="22.5" customHeight="1" x14ac:dyDescent="0.25">
      <c r="A387" s="8">
        <f t="shared" ref="A387:A450" si="12">A386+1</f>
        <v>386</v>
      </c>
      <c r="B387" s="24" t="s">
        <v>470</v>
      </c>
      <c r="C387" s="27">
        <v>42476</v>
      </c>
      <c r="D387" s="45">
        <f t="shared" ref="D387:D450" ca="1" si="13">DATEDIF(C387, TODAY(), "Y")</f>
        <v>9</v>
      </c>
      <c r="E387" s="4">
        <v>22</v>
      </c>
      <c r="F387" s="4" t="s">
        <v>25</v>
      </c>
      <c r="G387" s="4" t="s">
        <v>20</v>
      </c>
      <c r="H387" s="4" t="s">
        <v>21</v>
      </c>
      <c r="I387" s="44" t="s">
        <v>622</v>
      </c>
      <c r="J387" s="5" t="s">
        <v>211</v>
      </c>
      <c r="K387" s="36" t="s">
        <v>450</v>
      </c>
      <c r="L387"/>
      <c r="M387"/>
      <c r="N387"/>
      <c r="O387"/>
      <c r="P387"/>
      <c r="V387" s="2"/>
    </row>
    <row r="388" spans="1:22" ht="22.5" customHeight="1" x14ac:dyDescent="0.25">
      <c r="A388" s="8">
        <f t="shared" si="12"/>
        <v>387</v>
      </c>
      <c r="B388" s="24" t="s">
        <v>484</v>
      </c>
      <c r="C388" s="27">
        <v>42688</v>
      </c>
      <c r="D388" s="45">
        <f t="shared" ca="1" si="13"/>
        <v>9</v>
      </c>
      <c r="E388" s="4">
        <v>23</v>
      </c>
      <c r="F388" s="4" t="s">
        <v>25</v>
      </c>
      <c r="G388" s="4" t="s">
        <v>42</v>
      </c>
      <c r="H388" s="4" t="s">
        <v>21</v>
      </c>
      <c r="I388" s="44" t="s">
        <v>622</v>
      </c>
      <c r="J388" s="5" t="s">
        <v>211</v>
      </c>
      <c r="K388" s="36" t="s">
        <v>450</v>
      </c>
      <c r="L388"/>
      <c r="M388"/>
      <c r="N388"/>
      <c r="O388"/>
      <c r="P388"/>
      <c r="V388" s="2"/>
    </row>
    <row r="389" spans="1:22" ht="22.5" customHeight="1" x14ac:dyDescent="0.25">
      <c r="A389" s="8">
        <f t="shared" si="12"/>
        <v>388</v>
      </c>
      <c r="B389" s="24" t="s">
        <v>466</v>
      </c>
      <c r="C389" s="27">
        <v>42225</v>
      </c>
      <c r="D389" s="45">
        <f t="shared" ca="1" si="13"/>
        <v>10</v>
      </c>
      <c r="E389" s="4">
        <v>23</v>
      </c>
      <c r="F389" s="4" t="s">
        <v>25</v>
      </c>
      <c r="G389" s="4" t="s">
        <v>20</v>
      </c>
      <c r="H389" s="4" t="s">
        <v>21</v>
      </c>
      <c r="I389" s="44" t="s">
        <v>620</v>
      </c>
      <c r="J389" s="5" t="s">
        <v>211</v>
      </c>
      <c r="K389" s="36" t="s">
        <v>450</v>
      </c>
      <c r="L389"/>
      <c r="M389"/>
      <c r="N389"/>
      <c r="O389"/>
      <c r="P389"/>
      <c r="V389" s="2"/>
    </row>
    <row r="390" spans="1:22" ht="22.5" customHeight="1" x14ac:dyDescent="0.25">
      <c r="A390" s="8">
        <f t="shared" si="12"/>
        <v>389</v>
      </c>
      <c r="B390" s="24" t="s">
        <v>482</v>
      </c>
      <c r="C390" s="27">
        <v>42250</v>
      </c>
      <c r="D390" s="45">
        <f t="shared" ca="1" si="13"/>
        <v>10</v>
      </c>
      <c r="E390" s="4">
        <v>24</v>
      </c>
      <c r="F390" s="4" t="s">
        <v>25</v>
      </c>
      <c r="G390" s="4" t="s">
        <v>28</v>
      </c>
      <c r="H390" s="4" t="s">
        <v>21</v>
      </c>
      <c r="I390" s="44" t="s">
        <v>620</v>
      </c>
      <c r="J390" s="5" t="s">
        <v>211</v>
      </c>
      <c r="K390" s="36" t="s">
        <v>450</v>
      </c>
      <c r="L390"/>
      <c r="M390"/>
      <c r="N390"/>
      <c r="O390"/>
      <c r="P390"/>
      <c r="V390" s="2"/>
    </row>
    <row r="391" spans="1:22" ht="22.5" customHeight="1" x14ac:dyDescent="0.25">
      <c r="A391" s="8">
        <f t="shared" si="12"/>
        <v>390</v>
      </c>
      <c r="B391" s="24" t="s">
        <v>478</v>
      </c>
      <c r="C391" s="27">
        <v>42173</v>
      </c>
      <c r="D391" s="45">
        <f t="shared" ca="1" si="13"/>
        <v>10</v>
      </c>
      <c r="E391" s="4">
        <v>24</v>
      </c>
      <c r="F391" s="4" t="s">
        <v>25</v>
      </c>
      <c r="G391" s="4" t="s">
        <v>28</v>
      </c>
      <c r="H391" s="4" t="s">
        <v>21</v>
      </c>
      <c r="I391" s="44" t="s">
        <v>621</v>
      </c>
      <c r="J391" s="5" t="s">
        <v>211</v>
      </c>
      <c r="K391" s="36" t="s">
        <v>450</v>
      </c>
      <c r="L391"/>
      <c r="M391"/>
      <c r="N391"/>
      <c r="O391"/>
      <c r="P391"/>
      <c r="V391" s="2"/>
    </row>
    <row r="392" spans="1:22" ht="22.5" customHeight="1" x14ac:dyDescent="0.25">
      <c r="A392" s="8">
        <f t="shared" si="12"/>
        <v>391</v>
      </c>
      <c r="B392" s="24" t="s">
        <v>473</v>
      </c>
      <c r="C392" s="27">
        <v>42286</v>
      </c>
      <c r="D392" s="45">
        <f t="shared" ca="1" si="13"/>
        <v>10</v>
      </c>
      <c r="E392" s="4">
        <v>32</v>
      </c>
      <c r="F392" s="4" t="s">
        <v>25</v>
      </c>
      <c r="G392" s="4" t="s">
        <v>50</v>
      </c>
      <c r="H392" s="4" t="s">
        <v>21</v>
      </c>
      <c r="I392" s="44" t="s">
        <v>621</v>
      </c>
      <c r="J392" s="5" t="s">
        <v>211</v>
      </c>
      <c r="K392" s="36" t="s">
        <v>450</v>
      </c>
      <c r="L392"/>
      <c r="M392"/>
      <c r="N392"/>
      <c r="O392"/>
      <c r="P392"/>
      <c r="V392" s="2"/>
    </row>
    <row r="393" spans="1:22" ht="22.5" customHeight="1" x14ac:dyDescent="0.25">
      <c r="A393" s="8">
        <f t="shared" si="12"/>
        <v>392</v>
      </c>
      <c r="B393" s="24" t="s">
        <v>463</v>
      </c>
      <c r="C393" s="27">
        <v>42236</v>
      </c>
      <c r="D393" s="45">
        <f t="shared" ca="1" si="13"/>
        <v>10</v>
      </c>
      <c r="E393" s="4">
        <v>24</v>
      </c>
      <c r="F393" s="4" t="s">
        <v>19</v>
      </c>
      <c r="G393" s="4" t="s">
        <v>28</v>
      </c>
      <c r="H393" s="4" t="s">
        <v>21</v>
      </c>
      <c r="I393" s="44" t="s">
        <v>620</v>
      </c>
      <c r="J393" s="5" t="s">
        <v>211</v>
      </c>
      <c r="K393" s="36" t="s">
        <v>450</v>
      </c>
      <c r="L393"/>
      <c r="M393"/>
      <c r="N393"/>
      <c r="O393"/>
      <c r="P393"/>
      <c r="V393" s="2"/>
    </row>
    <row r="394" spans="1:22" ht="22.5" customHeight="1" x14ac:dyDescent="0.25">
      <c r="A394" s="8">
        <f t="shared" si="12"/>
        <v>393</v>
      </c>
      <c r="B394" s="24" t="s">
        <v>471</v>
      </c>
      <c r="C394" s="27">
        <v>42179</v>
      </c>
      <c r="D394" s="45">
        <f t="shared" ca="1" si="13"/>
        <v>10</v>
      </c>
      <c r="E394" s="4">
        <v>32</v>
      </c>
      <c r="F394" s="4" t="s">
        <v>19</v>
      </c>
      <c r="G394" s="4" t="s">
        <v>34</v>
      </c>
      <c r="H394" s="4" t="s">
        <v>21</v>
      </c>
      <c r="I394" s="44" t="s">
        <v>622</v>
      </c>
      <c r="J394" s="5" t="s">
        <v>211</v>
      </c>
      <c r="K394" s="36" t="s">
        <v>450</v>
      </c>
      <c r="L394"/>
      <c r="M394"/>
      <c r="N394"/>
      <c r="O394"/>
      <c r="P394"/>
      <c r="V394" s="2"/>
    </row>
    <row r="395" spans="1:22" ht="22.5" customHeight="1" x14ac:dyDescent="0.25">
      <c r="A395" s="8">
        <f t="shared" si="12"/>
        <v>394</v>
      </c>
      <c r="B395" s="24" t="s">
        <v>488</v>
      </c>
      <c r="C395" s="27">
        <v>42289</v>
      </c>
      <c r="D395" s="45">
        <f t="shared" ca="1" si="13"/>
        <v>10</v>
      </c>
      <c r="E395" s="4">
        <v>36</v>
      </c>
      <c r="F395" s="4" t="s">
        <v>19</v>
      </c>
      <c r="G395" s="4" t="s">
        <v>28</v>
      </c>
      <c r="H395" s="4" t="s">
        <v>21</v>
      </c>
      <c r="I395" s="44" t="s">
        <v>621</v>
      </c>
      <c r="J395" s="5" t="s">
        <v>211</v>
      </c>
      <c r="K395" s="36" t="s">
        <v>450</v>
      </c>
      <c r="L395"/>
      <c r="M395"/>
      <c r="N395"/>
      <c r="O395"/>
      <c r="P395"/>
      <c r="V395" s="2"/>
    </row>
    <row r="396" spans="1:22" ht="22.5" customHeight="1" x14ac:dyDescent="0.25">
      <c r="A396" s="8">
        <f t="shared" si="12"/>
        <v>395</v>
      </c>
      <c r="B396" s="24" t="s">
        <v>461</v>
      </c>
      <c r="C396" s="27">
        <v>41977</v>
      </c>
      <c r="D396" s="45">
        <f t="shared" ca="1" si="13"/>
        <v>11</v>
      </c>
      <c r="E396" s="4">
        <v>24</v>
      </c>
      <c r="F396" s="4" t="s">
        <v>25</v>
      </c>
      <c r="G396" s="4" t="s">
        <v>34</v>
      </c>
      <c r="H396" s="4" t="s">
        <v>21</v>
      </c>
      <c r="I396" s="44" t="s">
        <v>622</v>
      </c>
      <c r="J396" s="5" t="s">
        <v>211</v>
      </c>
      <c r="K396" s="36" t="s">
        <v>450</v>
      </c>
      <c r="L396"/>
      <c r="M396"/>
      <c r="N396"/>
      <c r="O396"/>
      <c r="P396"/>
      <c r="V396" s="2"/>
    </row>
    <row r="397" spans="1:22" ht="22.5" customHeight="1" x14ac:dyDescent="0.25">
      <c r="A397" s="8">
        <f t="shared" si="12"/>
        <v>396</v>
      </c>
      <c r="B397" s="24" t="s">
        <v>483</v>
      </c>
      <c r="C397" s="27">
        <v>41760</v>
      </c>
      <c r="D397" s="45">
        <f t="shared" ca="1" si="13"/>
        <v>11</v>
      </c>
      <c r="E397" s="4">
        <v>35</v>
      </c>
      <c r="F397" s="4" t="s">
        <v>25</v>
      </c>
      <c r="G397" s="4" t="s">
        <v>20</v>
      </c>
      <c r="H397" s="4" t="s">
        <v>21</v>
      </c>
      <c r="I397" s="44" t="s">
        <v>622</v>
      </c>
      <c r="J397" s="5" t="s">
        <v>211</v>
      </c>
      <c r="K397" s="36" t="s">
        <v>450</v>
      </c>
      <c r="L397"/>
      <c r="M397"/>
      <c r="N397"/>
      <c r="O397"/>
      <c r="P397"/>
      <c r="V397" s="2"/>
    </row>
    <row r="398" spans="1:22" ht="22.5" customHeight="1" x14ac:dyDescent="0.25">
      <c r="A398" s="8">
        <f t="shared" si="12"/>
        <v>397</v>
      </c>
      <c r="B398" s="24" t="s">
        <v>552</v>
      </c>
      <c r="C398" s="27">
        <v>41647</v>
      </c>
      <c r="D398" s="45">
        <f t="shared" ca="1" si="13"/>
        <v>12</v>
      </c>
      <c r="E398" s="4">
        <v>35</v>
      </c>
      <c r="F398" s="4" t="s">
        <v>25</v>
      </c>
      <c r="G398" s="4" t="s">
        <v>32</v>
      </c>
      <c r="H398" s="4" t="s">
        <v>21</v>
      </c>
      <c r="I398" s="44" t="s">
        <v>620</v>
      </c>
      <c r="J398" s="5" t="s">
        <v>211</v>
      </c>
      <c r="K398" s="36" t="s">
        <v>450</v>
      </c>
      <c r="L398"/>
      <c r="M398"/>
      <c r="N398"/>
      <c r="O398"/>
      <c r="P398"/>
      <c r="V398" s="2"/>
    </row>
    <row r="399" spans="1:22" ht="22.5" customHeight="1" x14ac:dyDescent="0.25">
      <c r="A399" s="8">
        <f t="shared" si="12"/>
        <v>398</v>
      </c>
      <c r="B399" s="24" t="s">
        <v>464</v>
      </c>
      <c r="C399" s="27">
        <v>41836</v>
      </c>
      <c r="D399" s="45">
        <f t="shared" ca="1" si="13"/>
        <v>11</v>
      </c>
      <c r="E399" s="4">
        <v>39</v>
      </c>
      <c r="F399" s="4" t="s">
        <v>25</v>
      </c>
      <c r="G399" s="4" t="s">
        <v>20</v>
      </c>
      <c r="H399" s="4" t="s">
        <v>21</v>
      </c>
      <c r="I399" s="44" t="s">
        <v>620</v>
      </c>
      <c r="J399" s="5" t="s">
        <v>211</v>
      </c>
      <c r="K399" s="36" t="s">
        <v>450</v>
      </c>
      <c r="L399"/>
      <c r="M399"/>
      <c r="N399"/>
      <c r="O399"/>
      <c r="P399"/>
      <c r="V399" s="2"/>
    </row>
    <row r="400" spans="1:22" ht="22.5" customHeight="1" x14ac:dyDescent="0.25">
      <c r="A400" s="8">
        <f t="shared" si="12"/>
        <v>399</v>
      </c>
      <c r="B400" s="24" t="s">
        <v>465</v>
      </c>
      <c r="C400" s="27">
        <v>41954</v>
      </c>
      <c r="D400" s="45">
        <f t="shared" ca="1" si="13"/>
        <v>11</v>
      </c>
      <c r="E400" s="4">
        <v>50</v>
      </c>
      <c r="F400" s="4" t="s">
        <v>25</v>
      </c>
      <c r="G400" s="4" t="s">
        <v>28</v>
      </c>
      <c r="H400" s="4" t="s">
        <v>21</v>
      </c>
      <c r="I400" s="44" t="s">
        <v>621</v>
      </c>
      <c r="J400" s="5" t="s">
        <v>211</v>
      </c>
      <c r="K400" s="36" t="s">
        <v>450</v>
      </c>
      <c r="L400"/>
      <c r="M400"/>
      <c r="N400"/>
      <c r="O400"/>
      <c r="P400"/>
      <c r="V400" s="2"/>
    </row>
    <row r="401" spans="1:22" ht="22.5" customHeight="1" x14ac:dyDescent="0.25">
      <c r="A401" s="8">
        <f t="shared" si="12"/>
        <v>400</v>
      </c>
      <c r="B401" s="24" t="s">
        <v>479</v>
      </c>
      <c r="C401" s="27">
        <v>41350</v>
      </c>
      <c r="D401" s="45">
        <f t="shared" ca="1" si="13"/>
        <v>13</v>
      </c>
      <c r="E401" s="4">
        <v>30</v>
      </c>
      <c r="F401" s="4" t="s">
        <v>25</v>
      </c>
      <c r="G401" s="4" t="s">
        <v>34</v>
      </c>
      <c r="H401" s="4" t="s">
        <v>21</v>
      </c>
      <c r="I401" s="44" t="s">
        <v>621</v>
      </c>
      <c r="J401" s="5" t="s">
        <v>211</v>
      </c>
      <c r="K401" s="36" t="s">
        <v>450</v>
      </c>
      <c r="L401"/>
      <c r="M401"/>
      <c r="N401"/>
      <c r="O401"/>
      <c r="P401"/>
      <c r="V401" s="2"/>
    </row>
    <row r="402" spans="1:22" ht="22.5" customHeight="1" x14ac:dyDescent="0.25">
      <c r="A402" s="8">
        <f t="shared" si="12"/>
        <v>401</v>
      </c>
      <c r="B402" s="24" t="s">
        <v>449</v>
      </c>
      <c r="C402" s="27">
        <v>41379</v>
      </c>
      <c r="D402" s="45">
        <f t="shared" ca="1" si="13"/>
        <v>12</v>
      </c>
      <c r="E402" s="4">
        <v>40</v>
      </c>
      <c r="F402" s="4" t="s">
        <v>25</v>
      </c>
      <c r="G402" s="4" t="s">
        <v>42</v>
      </c>
      <c r="H402" s="4" t="s">
        <v>21</v>
      </c>
      <c r="I402" s="44" t="s">
        <v>620</v>
      </c>
      <c r="J402" s="5" t="s">
        <v>211</v>
      </c>
      <c r="K402" s="36" t="s">
        <v>450</v>
      </c>
      <c r="L402"/>
      <c r="M402"/>
      <c r="N402"/>
      <c r="O402"/>
      <c r="P402"/>
      <c r="V402" s="2"/>
    </row>
    <row r="403" spans="1:22" ht="22.5" customHeight="1" x14ac:dyDescent="0.25">
      <c r="A403" s="8">
        <f t="shared" si="12"/>
        <v>402</v>
      </c>
      <c r="B403" s="24" t="s">
        <v>458</v>
      </c>
      <c r="C403" s="27">
        <v>40982</v>
      </c>
      <c r="D403" s="45">
        <f t="shared" ca="1" si="13"/>
        <v>14</v>
      </c>
      <c r="E403" s="4">
        <v>32</v>
      </c>
      <c r="F403" s="4" t="s">
        <v>25</v>
      </c>
      <c r="G403" s="4" t="s">
        <v>42</v>
      </c>
      <c r="H403" s="4" t="s">
        <v>21</v>
      </c>
      <c r="I403" s="44" t="s">
        <v>622</v>
      </c>
      <c r="J403" s="5" t="s">
        <v>211</v>
      </c>
      <c r="K403" s="36" t="s">
        <v>450</v>
      </c>
      <c r="L403"/>
      <c r="M403"/>
      <c r="N403"/>
      <c r="O403"/>
      <c r="P403"/>
      <c r="V403" s="2"/>
    </row>
    <row r="404" spans="1:22" ht="22.5" customHeight="1" x14ac:dyDescent="0.25">
      <c r="A404" s="8">
        <f t="shared" si="12"/>
        <v>403</v>
      </c>
      <c r="B404" s="24" t="s">
        <v>462</v>
      </c>
      <c r="C404" s="27">
        <v>40941</v>
      </c>
      <c r="D404" s="45">
        <f t="shared" ca="1" si="13"/>
        <v>14</v>
      </c>
      <c r="E404" s="4">
        <v>45</v>
      </c>
      <c r="F404" s="4" t="s">
        <v>25</v>
      </c>
      <c r="G404" s="4" t="s">
        <v>32</v>
      </c>
      <c r="H404" s="4" t="s">
        <v>21</v>
      </c>
      <c r="I404" s="44" t="s">
        <v>621</v>
      </c>
      <c r="J404" s="5" t="s">
        <v>211</v>
      </c>
      <c r="K404" s="36" t="s">
        <v>450</v>
      </c>
      <c r="L404"/>
      <c r="M404"/>
      <c r="N404"/>
      <c r="O404"/>
      <c r="P404"/>
      <c r="V404" s="2"/>
    </row>
    <row r="405" spans="1:22" ht="22.5" customHeight="1" x14ac:dyDescent="0.25">
      <c r="A405" s="8">
        <f t="shared" si="12"/>
        <v>404</v>
      </c>
      <c r="B405" s="24" t="s">
        <v>467</v>
      </c>
      <c r="C405" s="27">
        <v>41248</v>
      </c>
      <c r="D405" s="45">
        <f t="shared" ca="1" si="13"/>
        <v>13</v>
      </c>
      <c r="E405" s="4">
        <v>55</v>
      </c>
      <c r="F405" s="4" t="s">
        <v>25</v>
      </c>
      <c r="G405" s="4" t="s">
        <v>34</v>
      </c>
      <c r="H405" s="4" t="s">
        <v>21</v>
      </c>
      <c r="I405" s="44" t="s">
        <v>622</v>
      </c>
      <c r="J405" s="5" t="s">
        <v>211</v>
      </c>
      <c r="K405" s="36" t="s">
        <v>450</v>
      </c>
      <c r="L405"/>
      <c r="M405"/>
      <c r="N405"/>
      <c r="O405"/>
      <c r="P405"/>
      <c r="V405" s="2"/>
    </row>
    <row r="406" spans="1:22" ht="22.5" customHeight="1" x14ac:dyDescent="0.25">
      <c r="A406" s="8">
        <f t="shared" si="12"/>
        <v>405</v>
      </c>
      <c r="B406" s="24" t="s">
        <v>459</v>
      </c>
      <c r="C406" s="27">
        <v>40581</v>
      </c>
      <c r="D406" s="45">
        <f t="shared" ca="1" si="13"/>
        <v>15</v>
      </c>
      <c r="E406" s="4">
        <v>42</v>
      </c>
      <c r="F406" s="4" t="s">
        <v>25</v>
      </c>
      <c r="G406" s="4" t="s">
        <v>42</v>
      </c>
      <c r="H406" s="4" t="s">
        <v>21</v>
      </c>
      <c r="I406" s="44" t="s">
        <v>622</v>
      </c>
      <c r="J406" s="5" t="s">
        <v>211</v>
      </c>
      <c r="K406" s="36" t="s">
        <v>450</v>
      </c>
      <c r="L406"/>
      <c r="M406"/>
      <c r="N406"/>
      <c r="O406"/>
      <c r="P406"/>
      <c r="V406" s="2"/>
    </row>
    <row r="407" spans="1:22" ht="22.5" customHeight="1" x14ac:dyDescent="0.25">
      <c r="A407" s="8">
        <f t="shared" si="12"/>
        <v>406</v>
      </c>
      <c r="B407" s="24" t="s">
        <v>468</v>
      </c>
      <c r="C407" s="27">
        <v>40786</v>
      </c>
      <c r="D407" s="45">
        <f t="shared" ca="1" si="13"/>
        <v>14</v>
      </c>
      <c r="E407" s="4">
        <v>42</v>
      </c>
      <c r="F407" s="4" t="s">
        <v>25</v>
      </c>
      <c r="G407" s="4" t="s">
        <v>37</v>
      </c>
      <c r="H407" s="4" t="s">
        <v>21</v>
      </c>
      <c r="I407" s="44" t="s">
        <v>620</v>
      </c>
      <c r="J407" s="5" t="s">
        <v>211</v>
      </c>
      <c r="K407" s="36" t="s">
        <v>450</v>
      </c>
      <c r="L407"/>
      <c r="M407"/>
      <c r="N407"/>
      <c r="O407"/>
      <c r="P407"/>
      <c r="V407" s="2"/>
    </row>
    <row r="408" spans="1:22" ht="22.5" customHeight="1" x14ac:dyDescent="0.25">
      <c r="A408" s="8">
        <f t="shared" si="12"/>
        <v>407</v>
      </c>
      <c r="B408" s="24" t="s">
        <v>551</v>
      </c>
      <c r="C408" s="27">
        <v>40459</v>
      </c>
      <c r="D408" s="45">
        <f t="shared" ca="1" si="13"/>
        <v>15</v>
      </c>
      <c r="E408" s="4">
        <v>55</v>
      </c>
      <c r="F408" s="4" t="s">
        <v>19</v>
      </c>
      <c r="G408" s="4" t="s">
        <v>26</v>
      </c>
      <c r="H408" s="4" t="s">
        <v>21</v>
      </c>
      <c r="I408" s="44" t="s">
        <v>620</v>
      </c>
      <c r="J408" s="5" t="s">
        <v>211</v>
      </c>
      <c r="K408" s="36" t="s">
        <v>450</v>
      </c>
      <c r="L408"/>
      <c r="M408"/>
      <c r="N408"/>
      <c r="O408"/>
      <c r="P408"/>
      <c r="V408" s="2"/>
    </row>
    <row r="409" spans="1:22" ht="22.5" customHeight="1" x14ac:dyDescent="0.25">
      <c r="A409" s="8">
        <f t="shared" si="12"/>
        <v>408</v>
      </c>
      <c r="B409" s="24" t="s">
        <v>457</v>
      </c>
      <c r="C409" s="27">
        <v>39545</v>
      </c>
      <c r="D409" s="45">
        <f t="shared" ca="1" si="13"/>
        <v>17</v>
      </c>
      <c r="E409" s="4">
        <v>42</v>
      </c>
      <c r="F409" s="4" t="s">
        <v>25</v>
      </c>
      <c r="G409" s="4" t="s">
        <v>26</v>
      </c>
      <c r="H409" s="4" t="s">
        <v>21</v>
      </c>
      <c r="I409" s="44" t="s">
        <v>621</v>
      </c>
      <c r="J409" s="5" t="s">
        <v>211</v>
      </c>
      <c r="K409" s="36" t="s">
        <v>450</v>
      </c>
      <c r="L409"/>
      <c r="M409"/>
      <c r="N409"/>
      <c r="O409"/>
      <c r="P409"/>
      <c r="V409" s="2"/>
    </row>
    <row r="410" spans="1:22" ht="22.5" customHeight="1" x14ac:dyDescent="0.25">
      <c r="A410" s="8">
        <f t="shared" si="12"/>
        <v>409</v>
      </c>
      <c r="B410" s="24" t="s">
        <v>486</v>
      </c>
      <c r="C410" s="27">
        <v>39717</v>
      </c>
      <c r="D410" s="45">
        <f t="shared" ca="1" si="13"/>
        <v>17</v>
      </c>
      <c r="E410" s="4">
        <v>65</v>
      </c>
      <c r="F410" s="4" t="s">
        <v>19</v>
      </c>
      <c r="G410" s="4" t="s">
        <v>26</v>
      </c>
      <c r="H410" s="4" t="s">
        <v>21</v>
      </c>
      <c r="I410" s="44" t="s">
        <v>621</v>
      </c>
      <c r="J410" s="5" t="s">
        <v>211</v>
      </c>
      <c r="K410" s="36" t="s">
        <v>450</v>
      </c>
      <c r="L410"/>
      <c r="M410"/>
      <c r="N410"/>
      <c r="O410"/>
      <c r="P410"/>
      <c r="V410" s="2"/>
    </row>
    <row r="411" spans="1:22" ht="22.5" customHeight="1" x14ac:dyDescent="0.25">
      <c r="A411" s="8">
        <f t="shared" si="12"/>
        <v>410</v>
      </c>
      <c r="B411" s="24" t="s">
        <v>351</v>
      </c>
      <c r="C411" s="27">
        <v>42892</v>
      </c>
      <c r="D411" s="45">
        <f t="shared" ca="1" si="13"/>
        <v>8</v>
      </c>
      <c r="E411" s="4">
        <v>24</v>
      </c>
      <c r="F411" s="4" t="s">
        <v>19</v>
      </c>
      <c r="G411" s="4" t="s">
        <v>39</v>
      </c>
      <c r="H411" s="4" t="s">
        <v>21</v>
      </c>
      <c r="I411" s="44" t="s">
        <v>620</v>
      </c>
      <c r="J411" s="5" t="s">
        <v>211</v>
      </c>
      <c r="K411" s="36" t="s">
        <v>350</v>
      </c>
      <c r="L411"/>
      <c r="M411"/>
      <c r="N411"/>
      <c r="O411"/>
      <c r="P411"/>
      <c r="V411" s="2"/>
    </row>
    <row r="412" spans="1:22" ht="22.5" customHeight="1" x14ac:dyDescent="0.25">
      <c r="A412" s="8">
        <f t="shared" si="12"/>
        <v>411</v>
      </c>
      <c r="B412" s="24" t="s">
        <v>357</v>
      </c>
      <c r="C412" s="27">
        <v>42238</v>
      </c>
      <c r="D412" s="45">
        <f t="shared" ca="1" si="13"/>
        <v>10</v>
      </c>
      <c r="E412" s="4">
        <v>50</v>
      </c>
      <c r="F412" s="4" t="s">
        <v>19</v>
      </c>
      <c r="G412" s="4" t="s">
        <v>20</v>
      </c>
      <c r="H412" s="4" t="s">
        <v>21</v>
      </c>
      <c r="I412" s="44" t="s">
        <v>622</v>
      </c>
      <c r="J412" s="5" t="s">
        <v>211</v>
      </c>
      <c r="K412" s="36" t="s">
        <v>350</v>
      </c>
      <c r="L412"/>
      <c r="M412"/>
      <c r="N412"/>
      <c r="O412"/>
      <c r="P412"/>
      <c r="V412" s="2"/>
    </row>
    <row r="413" spans="1:22" ht="22.5" customHeight="1" x14ac:dyDescent="0.25">
      <c r="A413" s="8">
        <f t="shared" si="12"/>
        <v>412</v>
      </c>
      <c r="B413" s="24" t="s">
        <v>352</v>
      </c>
      <c r="C413" s="27">
        <v>41737</v>
      </c>
      <c r="D413" s="45">
        <f t="shared" ca="1" si="13"/>
        <v>11</v>
      </c>
      <c r="E413" s="4">
        <v>31</v>
      </c>
      <c r="F413" s="4" t="s">
        <v>19</v>
      </c>
      <c r="G413" s="4" t="s">
        <v>34</v>
      </c>
      <c r="H413" s="4" t="s">
        <v>21</v>
      </c>
      <c r="I413" s="44" t="s">
        <v>621</v>
      </c>
      <c r="J413" s="5" t="s">
        <v>211</v>
      </c>
      <c r="K413" s="36" t="s">
        <v>350</v>
      </c>
      <c r="L413"/>
      <c r="M413"/>
      <c r="N413"/>
      <c r="O413"/>
      <c r="P413"/>
      <c r="V413" s="2"/>
    </row>
    <row r="414" spans="1:22" ht="22.5" customHeight="1" x14ac:dyDescent="0.25">
      <c r="A414" s="8">
        <f t="shared" si="12"/>
        <v>413</v>
      </c>
      <c r="B414" s="24" t="s">
        <v>353</v>
      </c>
      <c r="C414" s="27">
        <v>41422</v>
      </c>
      <c r="D414" s="45">
        <f t="shared" ca="1" si="13"/>
        <v>12</v>
      </c>
      <c r="E414" s="4">
        <v>41</v>
      </c>
      <c r="F414" s="4" t="s">
        <v>25</v>
      </c>
      <c r="G414" s="4" t="s">
        <v>28</v>
      </c>
      <c r="H414" s="4" t="s">
        <v>21</v>
      </c>
      <c r="I414" s="44" t="s">
        <v>622</v>
      </c>
      <c r="J414" s="5" t="s">
        <v>211</v>
      </c>
      <c r="K414" s="36" t="s">
        <v>350</v>
      </c>
      <c r="L414"/>
      <c r="M414"/>
      <c r="N414"/>
      <c r="O414"/>
      <c r="P414"/>
      <c r="V414" s="2"/>
    </row>
    <row r="415" spans="1:22" ht="22.5" customHeight="1" x14ac:dyDescent="0.25">
      <c r="A415" s="8">
        <f t="shared" si="12"/>
        <v>414</v>
      </c>
      <c r="B415" s="24" t="s">
        <v>349</v>
      </c>
      <c r="C415" s="27">
        <v>41594</v>
      </c>
      <c r="D415" s="45">
        <f t="shared" ca="1" si="13"/>
        <v>12</v>
      </c>
      <c r="E415" s="4">
        <v>39</v>
      </c>
      <c r="F415" s="4" t="s">
        <v>19</v>
      </c>
      <c r="G415" s="4" t="s">
        <v>42</v>
      </c>
      <c r="H415" s="4" t="s">
        <v>21</v>
      </c>
      <c r="I415" s="44" t="s">
        <v>622</v>
      </c>
      <c r="J415" s="5" t="s">
        <v>211</v>
      </c>
      <c r="K415" s="36" t="s">
        <v>350</v>
      </c>
      <c r="L415"/>
      <c r="M415"/>
      <c r="N415"/>
      <c r="O415"/>
      <c r="P415"/>
      <c r="V415" s="2"/>
    </row>
    <row r="416" spans="1:22" ht="22.5" customHeight="1" x14ac:dyDescent="0.25">
      <c r="A416" s="8">
        <f t="shared" si="12"/>
        <v>415</v>
      </c>
      <c r="B416" s="24" t="s">
        <v>355</v>
      </c>
      <c r="C416" s="27">
        <v>40532</v>
      </c>
      <c r="D416" s="45">
        <f t="shared" ca="1" si="13"/>
        <v>15</v>
      </c>
      <c r="E416" s="4">
        <v>42</v>
      </c>
      <c r="F416" s="4" t="s">
        <v>25</v>
      </c>
      <c r="G416" s="4" t="s">
        <v>20</v>
      </c>
      <c r="H416" s="4" t="s">
        <v>21</v>
      </c>
      <c r="I416" s="44" t="s">
        <v>620</v>
      </c>
      <c r="J416" s="5" t="s">
        <v>211</v>
      </c>
      <c r="K416" s="36" t="s">
        <v>350</v>
      </c>
      <c r="L416"/>
      <c r="M416"/>
      <c r="N416"/>
      <c r="O416"/>
      <c r="P416"/>
      <c r="V416" s="2"/>
    </row>
    <row r="417" spans="1:31" ht="22.5" customHeight="1" x14ac:dyDescent="0.25">
      <c r="A417" s="8">
        <f t="shared" si="12"/>
        <v>416</v>
      </c>
      <c r="B417" s="24" t="s">
        <v>354</v>
      </c>
      <c r="C417" s="27">
        <v>40851</v>
      </c>
      <c r="D417" s="45">
        <f t="shared" ca="1" si="13"/>
        <v>14</v>
      </c>
      <c r="E417" s="4">
        <v>35</v>
      </c>
      <c r="F417" s="4" t="s">
        <v>19</v>
      </c>
      <c r="G417" s="4" t="s">
        <v>20</v>
      </c>
      <c r="H417" s="4" t="s">
        <v>21</v>
      </c>
      <c r="I417" s="44" t="s">
        <v>620</v>
      </c>
      <c r="J417" s="5" t="s">
        <v>211</v>
      </c>
      <c r="K417" s="36" t="s">
        <v>350</v>
      </c>
      <c r="L417"/>
      <c r="M417"/>
      <c r="N417"/>
      <c r="O417"/>
      <c r="P417"/>
      <c r="V417" s="2"/>
    </row>
    <row r="418" spans="1:31" ht="22.5" customHeight="1" x14ac:dyDescent="0.25">
      <c r="A418" s="8">
        <f t="shared" si="12"/>
        <v>417</v>
      </c>
      <c r="B418" s="24" t="s">
        <v>356</v>
      </c>
      <c r="C418" s="27">
        <v>40806</v>
      </c>
      <c r="D418" s="45">
        <f t="shared" ca="1" si="13"/>
        <v>14</v>
      </c>
      <c r="E418" s="4">
        <v>48</v>
      </c>
      <c r="F418" s="4" t="s">
        <v>19</v>
      </c>
      <c r="G418" s="4" t="s">
        <v>61</v>
      </c>
      <c r="H418" s="4" t="s">
        <v>21</v>
      </c>
      <c r="I418" s="44" t="s">
        <v>621</v>
      </c>
      <c r="J418" s="5" t="s">
        <v>211</v>
      </c>
      <c r="K418" s="36" t="s">
        <v>350</v>
      </c>
      <c r="L418"/>
      <c r="M418"/>
      <c r="N418"/>
      <c r="O418"/>
      <c r="P418"/>
      <c r="V418" s="2"/>
    </row>
    <row r="419" spans="1:31" ht="22.5" customHeight="1" x14ac:dyDescent="0.25">
      <c r="A419" s="8">
        <f t="shared" si="12"/>
        <v>418</v>
      </c>
      <c r="B419" s="24" t="s">
        <v>361</v>
      </c>
      <c r="C419" s="27">
        <v>42256</v>
      </c>
      <c r="D419" s="45">
        <f t="shared" ca="1" si="13"/>
        <v>10</v>
      </c>
      <c r="E419" s="4">
        <v>22</v>
      </c>
      <c r="F419" s="4" t="s">
        <v>25</v>
      </c>
      <c r="G419" s="4" t="s">
        <v>39</v>
      </c>
      <c r="H419" s="4" t="s">
        <v>21</v>
      </c>
      <c r="I419" s="44" t="s">
        <v>621</v>
      </c>
      <c r="J419" s="5" t="s">
        <v>211</v>
      </c>
      <c r="K419" s="36" t="s">
        <v>274</v>
      </c>
      <c r="L419"/>
      <c r="M419"/>
      <c r="N419"/>
      <c r="O419"/>
      <c r="P419"/>
      <c r="V419" s="2"/>
    </row>
    <row r="420" spans="1:31" ht="22.5" customHeight="1" x14ac:dyDescent="0.25">
      <c r="A420" s="8">
        <f t="shared" si="12"/>
        <v>419</v>
      </c>
      <c r="B420" s="24" t="s">
        <v>444</v>
      </c>
      <c r="C420" s="27">
        <v>41667</v>
      </c>
      <c r="D420" s="45">
        <f t="shared" ca="1" si="13"/>
        <v>12</v>
      </c>
      <c r="E420" s="4">
        <v>35</v>
      </c>
      <c r="F420" s="4" t="s">
        <v>25</v>
      </c>
      <c r="G420" s="4" t="s">
        <v>28</v>
      </c>
      <c r="H420" s="4" t="s">
        <v>21</v>
      </c>
      <c r="I420" s="44" t="s">
        <v>620</v>
      </c>
      <c r="J420" s="5" t="s">
        <v>211</v>
      </c>
      <c r="K420" s="36" t="s">
        <v>274</v>
      </c>
      <c r="L420"/>
      <c r="M420"/>
      <c r="N420"/>
      <c r="O420"/>
      <c r="P420"/>
      <c r="V420" s="2"/>
    </row>
    <row r="421" spans="1:31" ht="22.5" customHeight="1" x14ac:dyDescent="0.25">
      <c r="A421" s="8">
        <f t="shared" si="12"/>
        <v>420</v>
      </c>
      <c r="B421" s="24" t="s">
        <v>385</v>
      </c>
      <c r="C421" s="27">
        <v>41761</v>
      </c>
      <c r="D421" s="45">
        <f t="shared" ca="1" si="13"/>
        <v>11</v>
      </c>
      <c r="E421" s="4">
        <v>38</v>
      </c>
      <c r="F421" s="4" t="s">
        <v>25</v>
      </c>
      <c r="G421" s="4" t="s">
        <v>32</v>
      </c>
      <c r="H421" s="4" t="s">
        <v>21</v>
      </c>
      <c r="I421" s="44" t="s">
        <v>622</v>
      </c>
      <c r="J421" s="5" t="s">
        <v>211</v>
      </c>
      <c r="K421" s="36" t="s">
        <v>274</v>
      </c>
      <c r="L421"/>
      <c r="M421"/>
      <c r="N421"/>
      <c r="O421"/>
      <c r="P421"/>
      <c r="V421" s="2"/>
    </row>
    <row r="422" spans="1:31" ht="22.5" customHeight="1" x14ac:dyDescent="0.25">
      <c r="A422" s="8">
        <f t="shared" si="12"/>
        <v>421</v>
      </c>
      <c r="B422" s="24" t="s">
        <v>617</v>
      </c>
      <c r="C422" s="27">
        <v>41866</v>
      </c>
      <c r="D422" s="45">
        <f t="shared" ca="1" si="13"/>
        <v>11</v>
      </c>
      <c r="E422" s="4">
        <v>40</v>
      </c>
      <c r="F422" s="4" t="s">
        <v>25</v>
      </c>
      <c r="G422" s="4" t="s">
        <v>618</v>
      </c>
      <c r="H422" s="4" t="s">
        <v>21</v>
      </c>
      <c r="I422" s="44" t="s">
        <v>621</v>
      </c>
      <c r="J422" s="5" t="s">
        <v>211</v>
      </c>
      <c r="K422" s="36" t="s">
        <v>274</v>
      </c>
      <c r="L422"/>
      <c r="M422"/>
      <c r="N422"/>
      <c r="O422"/>
      <c r="P422"/>
      <c r="V422" s="2"/>
    </row>
    <row r="423" spans="1:31" ht="22.5" customHeight="1" x14ac:dyDescent="0.25">
      <c r="A423" s="8">
        <f t="shared" si="12"/>
        <v>422</v>
      </c>
      <c r="B423" s="24" t="s">
        <v>366</v>
      </c>
      <c r="C423" s="27">
        <v>41540</v>
      </c>
      <c r="D423" s="45">
        <f t="shared" ca="1" si="13"/>
        <v>12</v>
      </c>
      <c r="E423" s="4">
        <v>35</v>
      </c>
      <c r="F423" s="4" t="s">
        <v>25</v>
      </c>
      <c r="G423" s="4" t="s">
        <v>34</v>
      </c>
      <c r="H423" s="4" t="s">
        <v>21</v>
      </c>
      <c r="I423" s="44" t="s">
        <v>622</v>
      </c>
      <c r="J423" s="5" t="s">
        <v>211</v>
      </c>
      <c r="K423" s="36" t="s">
        <v>274</v>
      </c>
      <c r="L423"/>
      <c r="M423"/>
      <c r="N423"/>
      <c r="O423"/>
      <c r="P423"/>
      <c r="V423" s="2"/>
    </row>
    <row r="424" spans="1:31" ht="22.5" customHeight="1" x14ac:dyDescent="0.25">
      <c r="A424" s="8">
        <f t="shared" si="12"/>
        <v>423</v>
      </c>
      <c r="B424" s="24" t="s">
        <v>388</v>
      </c>
      <c r="C424" s="27">
        <v>41497</v>
      </c>
      <c r="D424" s="45">
        <f t="shared" ca="1" si="13"/>
        <v>12</v>
      </c>
      <c r="E424" s="4">
        <v>40</v>
      </c>
      <c r="F424" s="4" t="s">
        <v>19</v>
      </c>
      <c r="G424" s="4" t="s">
        <v>28</v>
      </c>
      <c r="H424" s="4" t="s">
        <v>21</v>
      </c>
      <c r="I424" s="44" t="s">
        <v>622</v>
      </c>
      <c r="J424" s="5" t="s">
        <v>211</v>
      </c>
      <c r="K424" s="36" t="s">
        <v>274</v>
      </c>
      <c r="L424"/>
      <c r="M424"/>
      <c r="N424"/>
      <c r="O424"/>
      <c r="P424"/>
      <c r="V424" s="2"/>
    </row>
    <row r="425" spans="1:31" ht="22.5" customHeight="1" x14ac:dyDescent="0.25">
      <c r="A425" s="8">
        <f t="shared" si="12"/>
        <v>424</v>
      </c>
      <c r="B425" s="24" t="s">
        <v>599</v>
      </c>
      <c r="C425" s="27">
        <v>40929</v>
      </c>
      <c r="D425" s="45">
        <f t="shared" ca="1" si="13"/>
        <v>14</v>
      </c>
      <c r="E425" s="4">
        <v>45</v>
      </c>
      <c r="F425" s="4" t="s">
        <v>25</v>
      </c>
      <c r="G425" s="4" t="s">
        <v>28</v>
      </c>
      <c r="H425" s="4" t="s">
        <v>21</v>
      </c>
      <c r="I425" s="44" t="s">
        <v>620</v>
      </c>
      <c r="J425" s="5" t="s">
        <v>211</v>
      </c>
      <c r="K425" s="36" t="s">
        <v>274</v>
      </c>
      <c r="L425"/>
      <c r="M425"/>
      <c r="N425"/>
      <c r="O425"/>
      <c r="P425"/>
      <c r="V425" s="2"/>
    </row>
    <row r="426" spans="1:31" ht="22.5" customHeight="1" x14ac:dyDescent="0.25">
      <c r="A426" s="8">
        <f t="shared" si="12"/>
        <v>425</v>
      </c>
      <c r="B426" s="24" t="s">
        <v>300</v>
      </c>
      <c r="C426" s="27">
        <v>41229</v>
      </c>
      <c r="D426" s="45">
        <f t="shared" ca="1" si="13"/>
        <v>13</v>
      </c>
      <c r="E426" s="4">
        <v>52</v>
      </c>
      <c r="F426" s="4" t="s">
        <v>25</v>
      </c>
      <c r="G426" s="4" t="s">
        <v>20</v>
      </c>
      <c r="H426" s="4" t="s">
        <v>21</v>
      </c>
      <c r="I426" s="44" t="s">
        <v>620</v>
      </c>
      <c r="J426" s="5" t="s">
        <v>211</v>
      </c>
      <c r="K426" s="36" t="s">
        <v>274</v>
      </c>
      <c r="L426"/>
      <c r="M426"/>
      <c r="N426"/>
      <c r="O426"/>
      <c r="P426"/>
      <c r="V426" s="2"/>
    </row>
    <row r="427" spans="1:31" ht="22.5" customHeight="1" x14ac:dyDescent="0.25">
      <c r="A427" s="8">
        <f t="shared" si="12"/>
        <v>426</v>
      </c>
      <c r="B427" s="24" t="s">
        <v>363</v>
      </c>
      <c r="C427" s="27">
        <v>41230</v>
      </c>
      <c r="D427" s="45">
        <f t="shared" ca="1" si="13"/>
        <v>13</v>
      </c>
      <c r="E427" s="4">
        <v>43</v>
      </c>
      <c r="F427" s="4" t="s">
        <v>19</v>
      </c>
      <c r="G427" s="4" t="s">
        <v>32</v>
      </c>
      <c r="H427" s="4" t="s">
        <v>21</v>
      </c>
      <c r="I427" s="44" t="s">
        <v>621</v>
      </c>
      <c r="J427" s="5" t="s">
        <v>211</v>
      </c>
      <c r="K427" s="36" t="s">
        <v>274</v>
      </c>
      <c r="L427"/>
      <c r="M427"/>
      <c r="N427"/>
      <c r="O427"/>
      <c r="P427"/>
      <c r="V427" s="2"/>
    </row>
    <row r="428" spans="1:31" ht="22.5" customHeight="1" x14ac:dyDescent="0.25">
      <c r="A428" s="8">
        <f t="shared" si="12"/>
        <v>427</v>
      </c>
      <c r="B428" s="24" t="s">
        <v>273</v>
      </c>
      <c r="C428" s="27">
        <v>41187</v>
      </c>
      <c r="D428" s="45">
        <f t="shared" ca="1" si="13"/>
        <v>13</v>
      </c>
      <c r="E428" s="4">
        <v>65</v>
      </c>
      <c r="F428" s="4" t="s">
        <v>19</v>
      </c>
      <c r="G428" s="4" t="s">
        <v>32</v>
      </c>
      <c r="H428" s="4" t="s">
        <v>21</v>
      </c>
      <c r="I428" s="44" t="s">
        <v>621</v>
      </c>
      <c r="J428" s="5" t="s">
        <v>211</v>
      </c>
      <c r="K428" s="36" t="s">
        <v>274</v>
      </c>
      <c r="L428"/>
      <c r="M428"/>
      <c r="N428"/>
      <c r="O428"/>
      <c r="P428"/>
      <c r="V428" s="2"/>
    </row>
    <row r="429" spans="1:31" ht="22.5" customHeight="1" x14ac:dyDescent="0.25">
      <c r="A429" s="8">
        <f t="shared" si="12"/>
        <v>428</v>
      </c>
      <c r="B429" s="24" t="s">
        <v>533</v>
      </c>
      <c r="C429" s="27">
        <v>41558</v>
      </c>
      <c r="D429" s="45">
        <f t="shared" ca="1" si="13"/>
        <v>12</v>
      </c>
      <c r="E429" s="4">
        <v>41</v>
      </c>
      <c r="F429" s="4" t="s">
        <v>25</v>
      </c>
      <c r="G429" s="4" t="s">
        <v>39</v>
      </c>
      <c r="H429" s="4" t="s">
        <v>45</v>
      </c>
      <c r="I429" s="44" t="s">
        <v>620</v>
      </c>
      <c r="J429" s="5" t="s">
        <v>211</v>
      </c>
      <c r="K429" s="36" t="s">
        <v>274</v>
      </c>
      <c r="L429"/>
      <c r="M429"/>
      <c r="N429"/>
      <c r="O429"/>
      <c r="P429"/>
      <c r="V429" s="2"/>
    </row>
    <row r="430" spans="1:31" ht="22.5" customHeight="1" x14ac:dyDescent="0.25">
      <c r="A430" s="8">
        <f t="shared" si="12"/>
        <v>429</v>
      </c>
      <c r="B430" s="24" t="s">
        <v>534</v>
      </c>
      <c r="C430" s="27">
        <v>43149</v>
      </c>
      <c r="D430" s="45">
        <f t="shared" ca="1" si="13"/>
        <v>8</v>
      </c>
      <c r="E430" s="4">
        <v>32</v>
      </c>
      <c r="F430" s="4" t="s">
        <v>25</v>
      </c>
      <c r="G430" s="4" t="s">
        <v>28</v>
      </c>
      <c r="H430" s="4" t="s">
        <v>21</v>
      </c>
      <c r="I430" s="44" t="s">
        <v>622</v>
      </c>
      <c r="J430" s="5" t="s">
        <v>245</v>
      </c>
      <c r="K430" s="36" t="s">
        <v>246</v>
      </c>
      <c r="L430"/>
      <c r="M430"/>
      <c r="N430"/>
      <c r="O430"/>
      <c r="P430"/>
      <c r="V430" s="2"/>
    </row>
    <row r="431" spans="1:31" ht="22.5" customHeight="1" x14ac:dyDescent="0.25">
      <c r="A431" s="8">
        <f t="shared" si="12"/>
        <v>430</v>
      </c>
      <c r="B431" s="24" t="s">
        <v>367</v>
      </c>
      <c r="C431" s="27">
        <v>43024</v>
      </c>
      <c r="D431" s="45">
        <f t="shared" ca="1" si="13"/>
        <v>8</v>
      </c>
      <c r="E431" s="4">
        <v>39</v>
      </c>
      <c r="F431" s="4" t="s">
        <v>25</v>
      </c>
      <c r="G431" s="4" t="s">
        <v>42</v>
      </c>
      <c r="H431" s="4" t="s">
        <v>21</v>
      </c>
      <c r="I431" s="44" t="s">
        <v>621</v>
      </c>
      <c r="J431" s="5" t="s">
        <v>245</v>
      </c>
      <c r="K431" s="36" t="s">
        <v>246</v>
      </c>
      <c r="L431" s="2"/>
      <c r="M431" s="2"/>
      <c r="N431" s="2"/>
      <c r="O431" s="2"/>
      <c r="P431" s="2"/>
      <c r="Q431" s="2"/>
      <c r="R431" s="2"/>
      <c r="S431" s="2"/>
      <c r="T431" s="2"/>
      <c r="U431" s="2"/>
      <c r="V431" s="2"/>
      <c r="W431" s="2"/>
      <c r="X431" s="2"/>
      <c r="Y431" s="2"/>
      <c r="Z431" s="2"/>
      <c r="AA431" s="2"/>
      <c r="AB431" s="2"/>
      <c r="AC431" s="2"/>
      <c r="AD431" s="2"/>
      <c r="AE431" s="2"/>
    </row>
    <row r="432" spans="1:31" ht="22.5" customHeight="1" x14ac:dyDescent="0.25">
      <c r="A432" s="8">
        <f t="shared" si="12"/>
        <v>431</v>
      </c>
      <c r="B432" s="24" t="s">
        <v>331</v>
      </c>
      <c r="C432" s="27">
        <v>42337</v>
      </c>
      <c r="D432" s="45">
        <f t="shared" ca="1" si="13"/>
        <v>10</v>
      </c>
      <c r="E432" s="4">
        <v>35</v>
      </c>
      <c r="F432" s="4" t="s">
        <v>25</v>
      </c>
      <c r="G432" s="4" t="s">
        <v>61</v>
      </c>
      <c r="H432" s="4" t="s">
        <v>21</v>
      </c>
      <c r="I432" s="44" t="s">
        <v>622</v>
      </c>
      <c r="J432" s="5" t="s">
        <v>245</v>
      </c>
      <c r="K432" s="36" t="s">
        <v>246</v>
      </c>
      <c r="L432" s="2"/>
      <c r="M432" s="2"/>
      <c r="N432" s="2"/>
      <c r="O432" s="2"/>
      <c r="P432" s="2"/>
      <c r="Q432" s="2"/>
      <c r="R432" s="2"/>
      <c r="S432" s="2"/>
      <c r="T432" s="2"/>
      <c r="U432" s="2"/>
      <c r="V432" s="2"/>
      <c r="W432" s="2"/>
      <c r="X432" s="2"/>
      <c r="Y432" s="2"/>
      <c r="Z432" s="2"/>
      <c r="AA432" s="2"/>
      <c r="AB432" s="2"/>
      <c r="AC432" s="2"/>
      <c r="AD432" s="2"/>
      <c r="AE432" s="2"/>
    </row>
    <row r="433" spans="1:22" ht="22.5" customHeight="1" x14ac:dyDescent="0.25">
      <c r="A433" s="8">
        <f t="shared" si="12"/>
        <v>432</v>
      </c>
      <c r="B433" s="24" t="s">
        <v>244</v>
      </c>
      <c r="C433" s="27">
        <v>42197</v>
      </c>
      <c r="D433" s="45">
        <f t="shared" ca="1" si="13"/>
        <v>10</v>
      </c>
      <c r="E433" s="4">
        <v>35</v>
      </c>
      <c r="F433" s="4" t="s">
        <v>19</v>
      </c>
      <c r="G433" s="4" t="s">
        <v>61</v>
      </c>
      <c r="H433" s="4" t="s">
        <v>21</v>
      </c>
      <c r="I433" s="44" t="s">
        <v>622</v>
      </c>
      <c r="J433" s="5" t="s">
        <v>245</v>
      </c>
      <c r="K433" s="36" t="s">
        <v>246</v>
      </c>
      <c r="L433"/>
      <c r="M433"/>
      <c r="N433"/>
      <c r="O433"/>
      <c r="P433"/>
      <c r="V433" s="2"/>
    </row>
    <row r="434" spans="1:22" ht="22.5" customHeight="1" x14ac:dyDescent="0.25">
      <c r="A434" s="8">
        <f t="shared" si="12"/>
        <v>433</v>
      </c>
      <c r="B434" s="24" t="s">
        <v>381</v>
      </c>
      <c r="C434" s="27">
        <v>42072</v>
      </c>
      <c r="D434" s="45">
        <f t="shared" ca="1" si="13"/>
        <v>11</v>
      </c>
      <c r="E434" s="4">
        <v>45</v>
      </c>
      <c r="F434" s="4" t="s">
        <v>19</v>
      </c>
      <c r="G434" s="4" t="s">
        <v>32</v>
      </c>
      <c r="H434" s="4" t="s">
        <v>21</v>
      </c>
      <c r="I434" s="44" t="s">
        <v>620</v>
      </c>
      <c r="J434" s="5" t="s">
        <v>245</v>
      </c>
      <c r="K434" s="36" t="s">
        <v>246</v>
      </c>
      <c r="L434"/>
      <c r="M434"/>
      <c r="N434"/>
      <c r="O434"/>
      <c r="P434"/>
      <c r="V434" s="2"/>
    </row>
    <row r="435" spans="1:22" ht="22.5" customHeight="1" x14ac:dyDescent="0.25">
      <c r="A435" s="8">
        <f t="shared" si="12"/>
        <v>434</v>
      </c>
      <c r="B435" s="24" t="s">
        <v>358</v>
      </c>
      <c r="C435" s="27">
        <v>41872</v>
      </c>
      <c r="D435" s="45">
        <f t="shared" ca="1" si="13"/>
        <v>11</v>
      </c>
      <c r="E435" s="4">
        <v>45</v>
      </c>
      <c r="F435" s="4" t="s">
        <v>25</v>
      </c>
      <c r="G435" s="4" t="s">
        <v>42</v>
      </c>
      <c r="H435" s="4" t="s">
        <v>21</v>
      </c>
      <c r="I435" s="44" t="s">
        <v>620</v>
      </c>
      <c r="J435" s="5" t="s">
        <v>245</v>
      </c>
      <c r="K435" s="36" t="s">
        <v>246</v>
      </c>
      <c r="L435"/>
      <c r="M435"/>
      <c r="N435"/>
      <c r="O435"/>
      <c r="P435"/>
      <c r="V435" s="2"/>
    </row>
    <row r="436" spans="1:22" ht="22.5" customHeight="1" x14ac:dyDescent="0.25">
      <c r="A436" s="8">
        <f t="shared" si="12"/>
        <v>435</v>
      </c>
      <c r="B436" s="24" t="s">
        <v>369</v>
      </c>
      <c r="C436" s="27">
        <v>41527</v>
      </c>
      <c r="D436" s="45">
        <f t="shared" ca="1" si="13"/>
        <v>12</v>
      </c>
      <c r="E436" s="4">
        <v>49.8</v>
      </c>
      <c r="F436" s="4" t="s">
        <v>25</v>
      </c>
      <c r="G436" s="4" t="s">
        <v>34</v>
      </c>
      <c r="H436" s="4" t="s">
        <v>21</v>
      </c>
      <c r="I436" s="44" t="s">
        <v>621</v>
      </c>
      <c r="J436" s="5" t="s">
        <v>245</v>
      </c>
      <c r="K436" s="36" t="s">
        <v>246</v>
      </c>
      <c r="L436"/>
      <c r="M436"/>
      <c r="N436"/>
      <c r="O436"/>
      <c r="P436"/>
      <c r="V436" s="2"/>
    </row>
    <row r="437" spans="1:22" ht="22.5" customHeight="1" x14ac:dyDescent="0.25">
      <c r="A437" s="8">
        <f t="shared" si="12"/>
        <v>436</v>
      </c>
      <c r="B437" s="24" t="s">
        <v>524</v>
      </c>
      <c r="C437" s="27">
        <v>41526</v>
      </c>
      <c r="D437" s="45">
        <f t="shared" ca="1" si="13"/>
        <v>12</v>
      </c>
      <c r="E437" s="4">
        <v>39</v>
      </c>
      <c r="F437" s="4" t="s">
        <v>19</v>
      </c>
      <c r="G437" s="4" t="s">
        <v>50</v>
      </c>
      <c r="H437" s="4" t="s">
        <v>21</v>
      </c>
      <c r="I437" s="44" t="s">
        <v>621</v>
      </c>
      <c r="J437" s="5" t="s">
        <v>245</v>
      </c>
      <c r="K437" s="36" t="s">
        <v>246</v>
      </c>
      <c r="L437"/>
      <c r="M437"/>
      <c r="N437"/>
      <c r="O437"/>
      <c r="P437"/>
      <c r="V437" s="2"/>
    </row>
    <row r="438" spans="1:22" ht="22.5" customHeight="1" x14ac:dyDescent="0.25">
      <c r="A438" s="8">
        <f t="shared" si="12"/>
        <v>437</v>
      </c>
      <c r="B438" s="24" t="s">
        <v>540</v>
      </c>
      <c r="C438" s="27">
        <v>43048</v>
      </c>
      <c r="D438" s="45">
        <f t="shared" ca="1" si="13"/>
        <v>8</v>
      </c>
      <c r="E438" s="4">
        <v>19</v>
      </c>
      <c r="F438" s="4" t="s">
        <v>25</v>
      </c>
      <c r="G438" s="4" t="s">
        <v>39</v>
      </c>
      <c r="H438" s="4" t="s">
        <v>21</v>
      </c>
      <c r="I438" s="44" t="s">
        <v>620</v>
      </c>
      <c r="J438" s="5" t="s">
        <v>537</v>
      </c>
      <c r="K438" s="36" t="s">
        <v>538</v>
      </c>
      <c r="L438"/>
      <c r="M438"/>
      <c r="N438"/>
      <c r="O438"/>
      <c r="P438"/>
      <c r="V438" s="2"/>
    </row>
    <row r="439" spans="1:22" ht="22.5" customHeight="1" x14ac:dyDescent="0.25">
      <c r="A439" s="8">
        <f t="shared" si="12"/>
        <v>438</v>
      </c>
      <c r="B439" s="24" t="s">
        <v>541</v>
      </c>
      <c r="C439" s="27">
        <v>42585</v>
      </c>
      <c r="D439" s="45">
        <f t="shared" ca="1" si="13"/>
        <v>9</v>
      </c>
      <c r="E439" s="4">
        <v>33</v>
      </c>
      <c r="F439" s="4" t="s">
        <v>25</v>
      </c>
      <c r="G439" s="4" t="s">
        <v>39</v>
      </c>
      <c r="H439" s="4" t="s">
        <v>21</v>
      </c>
      <c r="I439" s="44" t="s">
        <v>622</v>
      </c>
      <c r="J439" s="5" t="s">
        <v>537</v>
      </c>
      <c r="K439" s="36" t="s">
        <v>538</v>
      </c>
      <c r="L439"/>
      <c r="M439"/>
      <c r="N439"/>
      <c r="O439"/>
      <c r="P439"/>
      <c r="V439" s="2"/>
    </row>
    <row r="440" spans="1:22" ht="22.5" customHeight="1" x14ac:dyDescent="0.25">
      <c r="A440" s="8">
        <f t="shared" si="12"/>
        <v>439</v>
      </c>
      <c r="B440" s="24" t="s">
        <v>549</v>
      </c>
      <c r="C440" s="27">
        <v>42221</v>
      </c>
      <c r="D440" s="45">
        <f t="shared" ca="1" si="13"/>
        <v>10</v>
      </c>
      <c r="E440" s="4">
        <v>20</v>
      </c>
      <c r="F440" s="4" t="s">
        <v>19</v>
      </c>
      <c r="G440" s="4" t="s">
        <v>39</v>
      </c>
      <c r="H440" s="4" t="s">
        <v>21</v>
      </c>
      <c r="I440" s="44" t="s">
        <v>621</v>
      </c>
      <c r="J440" s="5" t="s">
        <v>537</v>
      </c>
      <c r="K440" s="36" t="s">
        <v>538</v>
      </c>
      <c r="L440"/>
      <c r="M440"/>
      <c r="N440"/>
      <c r="O440"/>
      <c r="P440"/>
      <c r="V440" s="2"/>
    </row>
    <row r="441" spans="1:22" ht="22.5" customHeight="1" x14ac:dyDescent="0.25">
      <c r="A441" s="8">
        <f t="shared" si="12"/>
        <v>440</v>
      </c>
      <c r="B441" s="24" t="s">
        <v>545</v>
      </c>
      <c r="C441" s="27">
        <v>41892</v>
      </c>
      <c r="D441" s="45">
        <f t="shared" ca="1" si="13"/>
        <v>11</v>
      </c>
      <c r="E441" s="4">
        <v>49</v>
      </c>
      <c r="F441" s="4" t="s">
        <v>19</v>
      </c>
      <c r="G441" s="4" t="s">
        <v>42</v>
      </c>
      <c r="H441" s="4" t="s">
        <v>21</v>
      </c>
      <c r="I441" s="44" t="s">
        <v>622</v>
      </c>
      <c r="J441" s="5" t="s">
        <v>537</v>
      </c>
      <c r="K441" s="36" t="s">
        <v>538</v>
      </c>
      <c r="L441"/>
      <c r="M441"/>
      <c r="N441"/>
      <c r="O441"/>
      <c r="P441"/>
      <c r="V441" s="2"/>
    </row>
    <row r="442" spans="1:22" ht="22.5" customHeight="1" x14ac:dyDescent="0.25">
      <c r="A442" s="8">
        <f t="shared" si="12"/>
        <v>441</v>
      </c>
      <c r="B442" s="24" t="s">
        <v>536</v>
      </c>
      <c r="C442" s="27">
        <v>41470</v>
      </c>
      <c r="D442" s="45">
        <f t="shared" ca="1" si="13"/>
        <v>12</v>
      </c>
      <c r="E442" s="4">
        <v>42</v>
      </c>
      <c r="F442" s="4" t="s">
        <v>25</v>
      </c>
      <c r="G442" s="4" t="s">
        <v>20</v>
      </c>
      <c r="H442" s="4" t="s">
        <v>21</v>
      </c>
      <c r="I442" s="44" t="s">
        <v>622</v>
      </c>
      <c r="J442" s="5" t="s">
        <v>537</v>
      </c>
      <c r="K442" s="36" t="s">
        <v>538</v>
      </c>
      <c r="L442"/>
      <c r="M442"/>
      <c r="N442"/>
      <c r="O442"/>
      <c r="P442"/>
      <c r="V442" s="2"/>
    </row>
    <row r="443" spans="1:22" ht="22.5" customHeight="1" x14ac:dyDescent="0.25">
      <c r="A443" s="8">
        <f t="shared" si="12"/>
        <v>442</v>
      </c>
      <c r="B443" s="24" t="s">
        <v>547</v>
      </c>
      <c r="C443" s="27">
        <v>41555</v>
      </c>
      <c r="D443" s="45">
        <f t="shared" ca="1" si="13"/>
        <v>12</v>
      </c>
      <c r="E443" s="4">
        <v>39</v>
      </c>
      <c r="F443" s="4" t="s">
        <v>19</v>
      </c>
      <c r="G443" s="4" t="s">
        <v>34</v>
      </c>
      <c r="H443" s="4" t="s">
        <v>21</v>
      </c>
      <c r="I443" s="44" t="s">
        <v>620</v>
      </c>
      <c r="J443" s="5" t="s">
        <v>537</v>
      </c>
      <c r="K443" s="36" t="s">
        <v>538</v>
      </c>
      <c r="L443"/>
      <c r="M443"/>
      <c r="N443"/>
      <c r="O443"/>
      <c r="P443"/>
      <c r="V443" s="2"/>
    </row>
    <row r="444" spans="1:22" ht="22.5" customHeight="1" x14ac:dyDescent="0.25">
      <c r="A444" s="8">
        <f t="shared" si="12"/>
        <v>443</v>
      </c>
      <c r="B444" s="24" t="s">
        <v>543</v>
      </c>
      <c r="C444" s="27">
        <v>40488</v>
      </c>
      <c r="D444" s="45">
        <f t="shared" ca="1" si="13"/>
        <v>15</v>
      </c>
      <c r="E444" s="4">
        <v>46</v>
      </c>
      <c r="F444" s="4" t="s">
        <v>25</v>
      </c>
      <c r="G444" s="4" t="s">
        <v>39</v>
      </c>
      <c r="H444" s="4" t="s">
        <v>21</v>
      </c>
      <c r="I444" s="44" t="s">
        <v>620</v>
      </c>
      <c r="J444" s="5" t="s">
        <v>537</v>
      </c>
      <c r="K444" s="36" t="s">
        <v>538</v>
      </c>
      <c r="L444"/>
      <c r="M444"/>
      <c r="N444"/>
      <c r="O444"/>
      <c r="P444"/>
      <c r="V444" s="2"/>
    </row>
    <row r="445" spans="1:22" ht="22.5" customHeight="1" x14ac:dyDescent="0.25">
      <c r="A445" s="8">
        <f t="shared" si="12"/>
        <v>444</v>
      </c>
      <c r="B445" s="24" t="s">
        <v>548</v>
      </c>
      <c r="C445" s="27">
        <v>40761</v>
      </c>
      <c r="D445" s="45">
        <f t="shared" ca="1" si="13"/>
        <v>14</v>
      </c>
      <c r="E445" s="4">
        <v>59</v>
      </c>
      <c r="F445" s="4" t="s">
        <v>25</v>
      </c>
      <c r="G445" s="4" t="s">
        <v>42</v>
      </c>
      <c r="H445" s="4" t="s">
        <v>21</v>
      </c>
      <c r="I445" s="44" t="s">
        <v>621</v>
      </c>
      <c r="J445" s="5" t="s">
        <v>537</v>
      </c>
      <c r="K445" s="36" t="s">
        <v>538</v>
      </c>
      <c r="L445"/>
      <c r="M445"/>
      <c r="N445"/>
      <c r="O445"/>
      <c r="P445"/>
      <c r="V445" s="2"/>
    </row>
    <row r="446" spans="1:22" ht="22.5" customHeight="1" x14ac:dyDescent="0.25">
      <c r="A446" s="8">
        <f t="shared" si="12"/>
        <v>445</v>
      </c>
      <c r="B446" s="24" t="s">
        <v>546</v>
      </c>
      <c r="C446" s="27">
        <v>40790</v>
      </c>
      <c r="D446" s="45">
        <f t="shared" ca="1" si="13"/>
        <v>14</v>
      </c>
      <c r="E446" s="4">
        <v>48</v>
      </c>
      <c r="F446" s="4" t="s">
        <v>19</v>
      </c>
      <c r="G446" s="4" t="s">
        <v>34</v>
      </c>
      <c r="H446" s="4" t="s">
        <v>21</v>
      </c>
      <c r="I446" s="44" t="s">
        <v>621</v>
      </c>
      <c r="J446" s="5" t="s">
        <v>537</v>
      </c>
      <c r="K446" s="36" t="s">
        <v>538</v>
      </c>
      <c r="L446"/>
      <c r="M446"/>
      <c r="N446"/>
      <c r="O446"/>
      <c r="P446"/>
      <c r="V446" s="2"/>
    </row>
    <row r="447" spans="1:22" ht="22.5" customHeight="1" x14ac:dyDescent="0.25">
      <c r="A447" s="8">
        <f t="shared" si="12"/>
        <v>446</v>
      </c>
      <c r="B447" s="24" t="s">
        <v>544</v>
      </c>
      <c r="C447" s="27">
        <v>40238</v>
      </c>
      <c r="D447" s="45">
        <f t="shared" ca="1" si="13"/>
        <v>16</v>
      </c>
      <c r="E447" s="4">
        <v>46</v>
      </c>
      <c r="F447" s="4" t="s">
        <v>19</v>
      </c>
      <c r="G447" s="4" t="s">
        <v>34</v>
      </c>
      <c r="H447" s="4" t="s">
        <v>21</v>
      </c>
      <c r="I447" s="44" t="s">
        <v>620</v>
      </c>
      <c r="J447" s="5" t="s">
        <v>537</v>
      </c>
      <c r="K447" s="36" t="s">
        <v>538</v>
      </c>
      <c r="L447"/>
      <c r="M447"/>
      <c r="N447"/>
      <c r="O447"/>
      <c r="P447"/>
      <c r="V447" s="2"/>
    </row>
    <row r="448" spans="1:22" ht="22.5" customHeight="1" x14ac:dyDescent="0.25">
      <c r="A448" s="8">
        <f t="shared" si="12"/>
        <v>447</v>
      </c>
      <c r="B448" s="24" t="s">
        <v>539</v>
      </c>
      <c r="C448" s="27">
        <v>39512</v>
      </c>
      <c r="D448" s="45">
        <f t="shared" ca="1" si="13"/>
        <v>18</v>
      </c>
      <c r="E448" s="4">
        <v>54</v>
      </c>
      <c r="F448" s="4" t="s">
        <v>25</v>
      </c>
      <c r="G448" s="4" t="s">
        <v>20</v>
      </c>
      <c r="H448" s="4" t="s">
        <v>21</v>
      </c>
      <c r="I448" s="44" t="s">
        <v>622</v>
      </c>
      <c r="J448" s="5" t="s">
        <v>537</v>
      </c>
      <c r="K448" s="36" t="s">
        <v>538</v>
      </c>
      <c r="L448"/>
      <c r="M448"/>
      <c r="N448"/>
      <c r="O448"/>
      <c r="P448"/>
      <c r="V448" s="2"/>
    </row>
    <row r="449" spans="1:22" ht="22.5" customHeight="1" x14ac:dyDescent="0.25">
      <c r="A449" s="8">
        <f t="shared" si="12"/>
        <v>448</v>
      </c>
      <c r="B449" s="24" t="s">
        <v>542</v>
      </c>
      <c r="C449" s="27">
        <v>39970</v>
      </c>
      <c r="D449" s="45">
        <f t="shared" ca="1" si="13"/>
        <v>16</v>
      </c>
      <c r="E449" s="4">
        <v>43</v>
      </c>
      <c r="F449" s="4" t="s">
        <v>19</v>
      </c>
      <c r="G449" s="4" t="s">
        <v>39</v>
      </c>
      <c r="H449" s="4" t="s">
        <v>21</v>
      </c>
      <c r="I449" s="44" t="s">
        <v>621</v>
      </c>
      <c r="J449" s="5" t="s">
        <v>537</v>
      </c>
      <c r="K449" s="36" t="s">
        <v>538</v>
      </c>
      <c r="L449"/>
      <c r="M449"/>
      <c r="N449"/>
      <c r="O449"/>
      <c r="P449"/>
      <c r="V449" s="2"/>
    </row>
    <row r="450" spans="1:22" ht="22.5" customHeight="1" x14ac:dyDescent="0.25">
      <c r="A450" s="8">
        <f t="shared" si="12"/>
        <v>449</v>
      </c>
      <c r="B450" s="24" t="s">
        <v>553</v>
      </c>
      <c r="C450" s="27">
        <v>39115</v>
      </c>
      <c r="D450" s="45">
        <f t="shared" ca="1" si="13"/>
        <v>19</v>
      </c>
      <c r="E450" s="4">
        <v>49</v>
      </c>
      <c r="F450" s="4" t="s">
        <v>25</v>
      </c>
      <c r="G450" s="4" t="s">
        <v>20</v>
      </c>
      <c r="H450" s="4" t="s">
        <v>21</v>
      </c>
      <c r="I450" s="44" t="s">
        <v>622</v>
      </c>
      <c r="J450" s="5" t="s">
        <v>537</v>
      </c>
      <c r="K450" s="36" t="s">
        <v>538</v>
      </c>
      <c r="L450"/>
      <c r="M450"/>
      <c r="N450"/>
      <c r="O450"/>
      <c r="P450"/>
      <c r="V450" s="2"/>
    </row>
    <row r="451" spans="1:22" ht="22.5" customHeight="1" x14ac:dyDescent="0.25">
      <c r="A451" s="8">
        <f t="shared" ref="A451:A514" si="14">A450+1</f>
        <v>450</v>
      </c>
      <c r="B451" s="24" t="s">
        <v>255</v>
      </c>
      <c r="C451" s="27">
        <v>43568</v>
      </c>
      <c r="D451" s="45">
        <f t="shared" ref="D451:D514" ca="1" si="15">DATEDIF(C451, TODAY(), "Y")</f>
        <v>6</v>
      </c>
      <c r="E451" s="4">
        <v>16</v>
      </c>
      <c r="F451" s="4" t="s">
        <v>25</v>
      </c>
      <c r="G451" s="4" t="s">
        <v>39</v>
      </c>
      <c r="H451" s="4" t="s">
        <v>21</v>
      </c>
      <c r="I451" s="44" t="s">
        <v>622</v>
      </c>
      <c r="J451" s="5" t="s">
        <v>248</v>
      </c>
      <c r="K451" s="36" t="s">
        <v>249</v>
      </c>
      <c r="L451"/>
      <c r="M451"/>
      <c r="N451"/>
      <c r="O451"/>
      <c r="P451"/>
      <c r="V451" s="2"/>
    </row>
    <row r="452" spans="1:22" ht="22.5" customHeight="1" x14ac:dyDescent="0.25">
      <c r="A452" s="8">
        <f t="shared" si="14"/>
        <v>451</v>
      </c>
      <c r="B452" s="24" t="s">
        <v>251</v>
      </c>
      <c r="C452" s="27">
        <v>43437</v>
      </c>
      <c r="D452" s="45">
        <f t="shared" ca="1" si="15"/>
        <v>7</v>
      </c>
      <c r="E452" s="4">
        <v>23</v>
      </c>
      <c r="F452" s="4" t="s">
        <v>25</v>
      </c>
      <c r="G452" s="4" t="s">
        <v>39</v>
      </c>
      <c r="H452" s="4" t="s">
        <v>21</v>
      </c>
      <c r="I452" s="44" t="s">
        <v>620</v>
      </c>
      <c r="J452" s="5" t="s">
        <v>248</v>
      </c>
      <c r="K452" s="36" t="s">
        <v>249</v>
      </c>
      <c r="L452"/>
      <c r="M452"/>
      <c r="N452"/>
      <c r="O452"/>
      <c r="P452"/>
      <c r="V452" s="2"/>
    </row>
    <row r="453" spans="1:22" ht="22.5" customHeight="1" x14ac:dyDescent="0.25">
      <c r="A453" s="8">
        <f t="shared" si="14"/>
        <v>452</v>
      </c>
      <c r="B453" s="24" t="s">
        <v>250</v>
      </c>
      <c r="C453" s="27">
        <v>42971</v>
      </c>
      <c r="D453" s="45">
        <f t="shared" ca="1" si="15"/>
        <v>8</v>
      </c>
      <c r="E453" s="4">
        <v>23</v>
      </c>
      <c r="F453" s="4" t="s">
        <v>25</v>
      </c>
      <c r="G453" s="4" t="s">
        <v>39</v>
      </c>
      <c r="H453" s="4" t="s">
        <v>21</v>
      </c>
      <c r="I453" s="44" t="s">
        <v>620</v>
      </c>
      <c r="J453" s="5" t="s">
        <v>248</v>
      </c>
      <c r="K453" s="36" t="s">
        <v>249</v>
      </c>
      <c r="L453"/>
      <c r="M453"/>
      <c r="N453"/>
      <c r="O453"/>
      <c r="P453"/>
      <c r="V453" s="2"/>
    </row>
    <row r="454" spans="1:22" ht="22.5" customHeight="1" x14ac:dyDescent="0.25">
      <c r="A454" s="8">
        <f t="shared" si="14"/>
        <v>453</v>
      </c>
      <c r="B454" s="24" t="s">
        <v>550</v>
      </c>
      <c r="C454" s="27">
        <v>43001</v>
      </c>
      <c r="D454" s="45">
        <f t="shared" ca="1" si="15"/>
        <v>8</v>
      </c>
      <c r="E454" s="4">
        <v>25</v>
      </c>
      <c r="F454" s="4" t="s">
        <v>25</v>
      </c>
      <c r="G454" s="4" t="s">
        <v>39</v>
      </c>
      <c r="H454" s="4" t="s">
        <v>21</v>
      </c>
      <c r="I454" s="44" t="s">
        <v>621</v>
      </c>
      <c r="J454" s="5" t="s">
        <v>248</v>
      </c>
      <c r="K454" s="36" t="s">
        <v>249</v>
      </c>
      <c r="L454"/>
      <c r="M454"/>
      <c r="N454"/>
      <c r="O454"/>
      <c r="P454"/>
      <c r="V454" s="2"/>
    </row>
    <row r="455" spans="1:22" ht="22.5" customHeight="1" x14ac:dyDescent="0.25">
      <c r="A455" s="8">
        <f t="shared" si="14"/>
        <v>454</v>
      </c>
      <c r="B455" s="24" t="s">
        <v>252</v>
      </c>
      <c r="C455" s="27">
        <v>42881</v>
      </c>
      <c r="D455" s="45">
        <f t="shared" ca="1" si="15"/>
        <v>8</v>
      </c>
      <c r="E455" s="4">
        <v>30</v>
      </c>
      <c r="F455" s="4" t="s">
        <v>25</v>
      </c>
      <c r="G455" s="4" t="s">
        <v>39</v>
      </c>
      <c r="H455" s="4" t="s">
        <v>21</v>
      </c>
      <c r="I455" s="44" t="s">
        <v>621</v>
      </c>
      <c r="J455" s="5" t="s">
        <v>248</v>
      </c>
      <c r="K455" s="36" t="s">
        <v>249</v>
      </c>
      <c r="L455"/>
      <c r="M455"/>
      <c r="N455"/>
      <c r="O455"/>
      <c r="P455"/>
    </row>
    <row r="456" spans="1:22" ht="22.5" customHeight="1" x14ac:dyDescent="0.25">
      <c r="A456" s="8">
        <f t="shared" si="14"/>
        <v>455</v>
      </c>
      <c r="B456" s="24" t="s">
        <v>253</v>
      </c>
      <c r="C456" s="27">
        <v>42993</v>
      </c>
      <c r="D456" s="45">
        <f t="shared" ca="1" si="15"/>
        <v>8</v>
      </c>
      <c r="E456" s="4">
        <v>33</v>
      </c>
      <c r="F456" s="4" t="s">
        <v>25</v>
      </c>
      <c r="G456" s="4" t="s">
        <v>39</v>
      </c>
      <c r="H456" s="4" t="s">
        <v>21</v>
      </c>
      <c r="I456" s="44" t="s">
        <v>620</v>
      </c>
      <c r="J456" s="5" t="s">
        <v>248</v>
      </c>
      <c r="K456" s="36" t="s">
        <v>249</v>
      </c>
      <c r="L456"/>
      <c r="M456"/>
      <c r="N456"/>
      <c r="O456"/>
      <c r="P456"/>
    </row>
    <row r="457" spans="1:22" ht="22.5" customHeight="1" x14ac:dyDescent="0.25">
      <c r="A457" s="8">
        <f t="shared" si="14"/>
        <v>456</v>
      </c>
      <c r="B457" s="24" t="s">
        <v>256</v>
      </c>
      <c r="C457" s="27">
        <v>42965</v>
      </c>
      <c r="D457" s="45">
        <f t="shared" ca="1" si="15"/>
        <v>8</v>
      </c>
      <c r="E457" s="4">
        <v>23</v>
      </c>
      <c r="F457" s="4" t="s">
        <v>19</v>
      </c>
      <c r="G457" s="4" t="s">
        <v>42</v>
      </c>
      <c r="H457" s="4" t="s">
        <v>21</v>
      </c>
      <c r="I457" s="44" t="s">
        <v>622</v>
      </c>
      <c r="J457" s="5" t="s">
        <v>248</v>
      </c>
      <c r="K457" s="36" t="s">
        <v>249</v>
      </c>
      <c r="L457"/>
      <c r="M457"/>
      <c r="N457"/>
      <c r="O457"/>
      <c r="P457"/>
    </row>
    <row r="458" spans="1:22" ht="22.5" customHeight="1" x14ac:dyDescent="0.25">
      <c r="A458" s="8">
        <f t="shared" si="14"/>
        <v>457</v>
      </c>
      <c r="B458" s="24" t="s">
        <v>254</v>
      </c>
      <c r="C458" s="27">
        <v>42906</v>
      </c>
      <c r="D458" s="45">
        <f t="shared" ca="1" si="15"/>
        <v>8</v>
      </c>
      <c r="E458" s="4">
        <v>30</v>
      </c>
      <c r="F458" s="4" t="s">
        <v>19</v>
      </c>
      <c r="G458" s="4" t="s">
        <v>42</v>
      </c>
      <c r="H458" s="4" t="s">
        <v>21</v>
      </c>
      <c r="I458" s="44" t="s">
        <v>621</v>
      </c>
      <c r="J458" s="5" t="s">
        <v>248</v>
      </c>
      <c r="K458" s="36" t="s">
        <v>249</v>
      </c>
      <c r="L458"/>
      <c r="M458"/>
      <c r="N458"/>
      <c r="O458"/>
      <c r="P458"/>
    </row>
    <row r="459" spans="1:22" ht="22.5" customHeight="1" x14ac:dyDescent="0.25">
      <c r="A459" s="8">
        <f t="shared" si="14"/>
        <v>458</v>
      </c>
      <c r="B459" s="24" t="s">
        <v>257</v>
      </c>
      <c r="C459" s="27">
        <v>42720</v>
      </c>
      <c r="D459" s="45">
        <f t="shared" ca="1" si="15"/>
        <v>9</v>
      </c>
      <c r="E459" s="4">
        <v>30</v>
      </c>
      <c r="F459" s="4" t="s">
        <v>19</v>
      </c>
      <c r="G459" s="4" t="s">
        <v>20</v>
      </c>
      <c r="H459" s="4" t="s">
        <v>21</v>
      </c>
      <c r="I459" s="44" t="s">
        <v>622</v>
      </c>
      <c r="J459" s="5" t="s">
        <v>248</v>
      </c>
      <c r="K459" s="36" t="s">
        <v>249</v>
      </c>
      <c r="L459"/>
      <c r="M459"/>
      <c r="N459"/>
      <c r="O459"/>
      <c r="P459"/>
    </row>
    <row r="460" spans="1:22" ht="22.5" customHeight="1" x14ac:dyDescent="0.25">
      <c r="A460" s="8">
        <f t="shared" si="14"/>
        <v>459</v>
      </c>
      <c r="B460" s="24" t="s">
        <v>424</v>
      </c>
      <c r="C460" s="27">
        <v>41514</v>
      </c>
      <c r="D460" s="45">
        <f t="shared" ca="1" si="15"/>
        <v>12</v>
      </c>
      <c r="E460" s="4">
        <v>39</v>
      </c>
      <c r="F460" s="4" t="s">
        <v>19</v>
      </c>
      <c r="G460" s="4" t="s">
        <v>61</v>
      </c>
      <c r="H460" s="4" t="s">
        <v>21</v>
      </c>
      <c r="I460" s="44" t="s">
        <v>622</v>
      </c>
      <c r="J460" s="5" t="s">
        <v>248</v>
      </c>
      <c r="K460" s="36" t="s">
        <v>249</v>
      </c>
      <c r="L460"/>
      <c r="M460"/>
      <c r="N460"/>
      <c r="O460"/>
      <c r="P460"/>
    </row>
    <row r="461" spans="1:22" ht="22.5" customHeight="1" x14ac:dyDescent="0.25">
      <c r="A461" s="8">
        <f t="shared" si="14"/>
        <v>460</v>
      </c>
      <c r="B461" s="24" t="s">
        <v>247</v>
      </c>
      <c r="C461" s="27">
        <v>40977</v>
      </c>
      <c r="D461" s="45">
        <f t="shared" ca="1" si="15"/>
        <v>14</v>
      </c>
      <c r="E461" s="4">
        <v>43</v>
      </c>
      <c r="F461" s="4" t="s">
        <v>25</v>
      </c>
      <c r="G461" s="4" t="s">
        <v>37</v>
      </c>
      <c r="H461" s="4" t="s">
        <v>21</v>
      </c>
      <c r="I461" s="44" t="s">
        <v>620</v>
      </c>
      <c r="J461" s="5" t="s">
        <v>248</v>
      </c>
      <c r="K461" s="36" t="s">
        <v>249</v>
      </c>
      <c r="L461"/>
      <c r="M461"/>
      <c r="N461"/>
      <c r="O461"/>
      <c r="P461"/>
    </row>
    <row r="462" spans="1:22" ht="22.5" customHeight="1" x14ac:dyDescent="0.25">
      <c r="A462" s="8">
        <f t="shared" si="14"/>
        <v>461</v>
      </c>
      <c r="B462" s="24" t="s">
        <v>208</v>
      </c>
      <c r="C462" s="27">
        <v>43070</v>
      </c>
      <c r="D462" s="45">
        <f t="shared" ca="1" si="15"/>
        <v>8</v>
      </c>
      <c r="E462" s="4">
        <v>22</v>
      </c>
      <c r="F462" s="4" t="s">
        <v>25</v>
      </c>
      <c r="G462" s="4" t="s">
        <v>28</v>
      </c>
      <c r="H462" s="4" t="s">
        <v>21</v>
      </c>
      <c r="I462" s="44" t="s">
        <v>620</v>
      </c>
      <c r="J462" s="5" t="s">
        <v>205</v>
      </c>
      <c r="K462" s="36" t="s">
        <v>206</v>
      </c>
      <c r="L462"/>
      <c r="M462"/>
      <c r="N462"/>
      <c r="O462"/>
      <c r="P462"/>
    </row>
    <row r="463" spans="1:22" ht="22.5" customHeight="1" x14ac:dyDescent="0.25">
      <c r="A463" s="8">
        <f t="shared" si="14"/>
        <v>462</v>
      </c>
      <c r="B463" s="24" t="s">
        <v>272</v>
      </c>
      <c r="C463" s="27">
        <v>42642</v>
      </c>
      <c r="D463" s="45">
        <f t="shared" ca="1" si="15"/>
        <v>9</v>
      </c>
      <c r="E463" s="4">
        <v>25</v>
      </c>
      <c r="F463" s="4" t="s">
        <v>19</v>
      </c>
      <c r="G463" s="4" t="s">
        <v>20</v>
      </c>
      <c r="H463" s="4" t="s">
        <v>21</v>
      </c>
      <c r="I463" s="44" t="s">
        <v>621</v>
      </c>
      <c r="J463" s="5" t="s">
        <v>205</v>
      </c>
      <c r="K463" s="36" t="s">
        <v>206</v>
      </c>
      <c r="L463"/>
      <c r="M463"/>
      <c r="N463"/>
      <c r="O463"/>
      <c r="P463"/>
    </row>
    <row r="464" spans="1:22" ht="22.5" customHeight="1" x14ac:dyDescent="0.25">
      <c r="A464" s="8">
        <f t="shared" si="14"/>
        <v>463</v>
      </c>
      <c r="B464" s="24" t="s">
        <v>209</v>
      </c>
      <c r="C464" s="27">
        <v>42197</v>
      </c>
      <c r="D464" s="45">
        <f t="shared" ca="1" si="15"/>
        <v>10</v>
      </c>
      <c r="E464" s="4">
        <v>23</v>
      </c>
      <c r="F464" s="4" t="s">
        <v>19</v>
      </c>
      <c r="G464" s="4" t="s">
        <v>20</v>
      </c>
      <c r="H464" s="4" t="s">
        <v>21</v>
      </c>
      <c r="I464" s="44" t="s">
        <v>621</v>
      </c>
      <c r="J464" s="5" t="s">
        <v>205</v>
      </c>
      <c r="K464" s="36" t="s">
        <v>206</v>
      </c>
      <c r="L464"/>
      <c r="M464"/>
      <c r="N464"/>
      <c r="O464"/>
      <c r="P464"/>
    </row>
    <row r="465" spans="1:16" ht="22.5" customHeight="1" x14ac:dyDescent="0.25">
      <c r="A465" s="8">
        <f t="shared" si="14"/>
        <v>464</v>
      </c>
      <c r="B465" s="24" t="s">
        <v>409</v>
      </c>
      <c r="C465" s="27">
        <v>42298</v>
      </c>
      <c r="D465" s="45">
        <f t="shared" ca="1" si="15"/>
        <v>10</v>
      </c>
      <c r="E465" s="4">
        <v>35</v>
      </c>
      <c r="F465" s="4" t="s">
        <v>19</v>
      </c>
      <c r="G465" s="4" t="s">
        <v>20</v>
      </c>
      <c r="H465" s="4" t="s">
        <v>21</v>
      </c>
      <c r="I465" s="44" t="s">
        <v>620</v>
      </c>
      <c r="J465" s="5" t="s">
        <v>205</v>
      </c>
      <c r="K465" s="36" t="s">
        <v>206</v>
      </c>
      <c r="L465"/>
      <c r="M465"/>
      <c r="N465"/>
      <c r="O465"/>
      <c r="P465"/>
    </row>
    <row r="466" spans="1:16" ht="22.5" customHeight="1" x14ac:dyDescent="0.25">
      <c r="A466" s="8">
        <f t="shared" si="14"/>
        <v>465</v>
      </c>
      <c r="B466" s="24" t="s">
        <v>602</v>
      </c>
      <c r="C466" s="32">
        <v>42187</v>
      </c>
      <c r="D466" s="45">
        <f t="shared" ca="1" si="15"/>
        <v>10</v>
      </c>
      <c r="E466" s="25">
        <v>49</v>
      </c>
      <c r="F466" s="25" t="s">
        <v>607</v>
      </c>
      <c r="G466" s="25" t="s">
        <v>608</v>
      </c>
      <c r="H466" s="25" t="s">
        <v>612</v>
      </c>
      <c r="I466" s="44" t="s">
        <v>622</v>
      </c>
      <c r="J466" s="5" t="s">
        <v>205</v>
      </c>
      <c r="K466" s="36" t="s">
        <v>206</v>
      </c>
      <c r="L466"/>
      <c r="M466"/>
      <c r="N466"/>
      <c r="O466"/>
      <c r="P466"/>
    </row>
    <row r="467" spans="1:16" ht="22.5" customHeight="1" x14ac:dyDescent="0.25">
      <c r="A467" s="8">
        <f t="shared" si="14"/>
        <v>466</v>
      </c>
      <c r="B467" s="24" t="s">
        <v>267</v>
      </c>
      <c r="C467" s="27">
        <v>41472</v>
      </c>
      <c r="D467" s="45">
        <f t="shared" ca="1" si="15"/>
        <v>12</v>
      </c>
      <c r="E467" s="4">
        <v>39</v>
      </c>
      <c r="F467" s="4" t="s">
        <v>25</v>
      </c>
      <c r="G467" s="4" t="s">
        <v>34</v>
      </c>
      <c r="H467" s="4" t="s">
        <v>21</v>
      </c>
      <c r="I467" s="44" t="s">
        <v>621</v>
      </c>
      <c r="J467" s="5" t="s">
        <v>205</v>
      </c>
      <c r="K467" s="36" t="s">
        <v>206</v>
      </c>
      <c r="L467"/>
      <c r="M467"/>
      <c r="N467"/>
      <c r="O467"/>
      <c r="P467"/>
    </row>
    <row r="468" spans="1:16" ht="22.5" customHeight="1" x14ac:dyDescent="0.25">
      <c r="A468" s="8">
        <f t="shared" si="14"/>
        <v>467</v>
      </c>
      <c r="B468" s="24" t="s">
        <v>302</v>
      </c>
      <c r="C468" s="27">
        <v>41598</v>
      </c>
      <c r="D468" s="45">
        <f t="shared" ca="1" si="15"/>
        <v>12</v>
      </c>
      <c r="E468" s="4">
        <v>26.6</v>
      </c>
      <c r="F468" s="4" t="s">
        <v>19</v>
      </c>
      <c r="G468" s="4" t="s">
        <v>37</v>
      </c>
      <c r="H468" s="4" t="s">
        <v>21</v>
      </c>
      <c r="I468" s="44" t="s">
        <v>622</v>
      </c>
      <c r="J468" s="5" t="s">
        <v>205</v>
      </c>
      <c r="K468" s="36" t="s">
        <v>206</v>
      </c>
      <c r="L468"/>
      <c r="M468"/>
      <c r="N468"/>
      <c r="O468"/>
      <c r="P468"/>
    </row>
    <row r="469" spans="1:16" ht="22.5" customHeight="1" x14ac:dyDescent="0.25">
      <c r="A469" s="8">
        <f t="shared" si="14"/>
        <v>468</v>
      </c>
      <c r="B469" s="24" t="s">
        <v>301</v>
      </c>
      <c r="C469" s="27">
        <v>41598</v>
      </c>
      <c r="D469" s="45">
        <f t="shared" ca="1" si="15"/>
        <v>12</v>
      </c>
      <c r="E469" s="4">
        <v>28</v>
      </c>
      <c r="F469" s="4" t="s">
        <v>19</v>
      </c>
      <c r="G469" s="4" t="s">
        <v>37</v>
      </c>
      <c r="H469" s="4" t="s">
        <v>21</v>
      </c>
      <c r="I469" s="44" t="s">
        <v>622</v>
      </c>
      <c r="J469" s="5" t="s">
        <v>205</v>
      </c>
      <c r="K469" s="36" t="s">
        <v>206</v>
      </c>
      <c r="L469"/>
      <c r="M469"/>
      <c r="N469"/>
      <c r="O469"/>
      <c r="P469"/>
    </row>
    <row r="470" spans="1:16" ht="22.5" customHeight="1" x14ac:dyDescent="0.25">
      <c r="A470" s="8">
        <f t="shared" si="14"/>
        <v>469</v>
      </c>
      <c r="B470" s="24" t="s">
        <v>416</v>
      </c>
      <c r="C470" s="27">
        <v>41488</v>
      </c>
      <c r="D470" s="45">
        <f t="shared" ca="1" si="15"/>
        <v>12</v>
      </c>
      <c r="E470" s="4">
        <v>34</v>
      </c>
      <c r="F470" s="4" t="s">
        <v>19</v>
      </c>
      <c r="G470" s="4" t="s">
        <v>61</v>
      </c>
      <c r="H470" s="4" t="s">
        <v>21</v>
      </c>
      <c r="I470" s="44" t="s">
        <v>620</v>
      </c>
      <c r="J470" s="5" t="s">
        <v>205</v>
      </c>
      <c r="K470" s="36" t="s">
        <v>206</v>
      </c>
      <c r="L470"/>
      <c r="M470"/>
      <c r="N470"/>
      <c r="O470"/>
      <c r="P470"/>
    </row>
    <row r="471" spans="1:16" ht="22.5" customHeight="1" x14ac:dyDescent="0.25">
      <c r="A471" s="8">
        <f t="shared" si="14"/>
        <v>470</v>
      </c>
      <c r="B471" s="24" t="s">
        <v>531</v>
      </c>
      <c r="C471" s="27">
        <v>41522</v>
      </c>
      <c r="D471" s="45">
        <f t="shared" ca="1" si="15"/>
        <v>12</v>
      </c>
      <c r="E471" s="4">
        <v>34</v>
      </c>
      <c r="F471" s="4" t="s">
        <v>19</v>
      </c>
      <c r="G471" s="4" t="s">
        <v>26</v>
      </c>
      <c r="H471" s="4" t="s">
        <v>21</v>
      </c>
      <c r="I471" s="44" t="s">
        <v>620</v>
      </c>
      <c r="J471" s="5" t="s">
        <v>205</v>
      </c>
      <c r="K471" s="36" t="s">
        <v>206</v>
      </c>
      <c r="L471"/>
      <c r="M471"/>
      <c r="N471"/>
      <c r="O471"/>
      <c r="P471"/>
    </row>
    <row r="472" spans="1:16" ht="22.5" customHeight="1" x14ac:dyDescent="0.25">
      <c r="A472" s="8">
        <f t="shared" si="14"/>
        <v>471</v>
      </c>
      <c r="B472" s="24" t="s">
        <v>606</v>
      </c>
      <c r="C472" s="32">
        <v>41422</v>
      </c>
      <c r="D472" s="45">
        <f t="shared" ca="1" si="15"/>
        <v>12</v>
      </c>
      <c r="E472" s="25">
        <v>33</v>
      </c>
      <c r="F472" s="25" t="s">
        <v>607</v>
      </c>
      <c r="G472" s="25" t="s">
        <v>611</v>
      </c>
      <c r="H472" s="25" t="s">
        <v>612</v>
      </c>
      <c r="I472" s="44" t="s">
        <v>621</v>
      </c>
      <c r="J472" s="5" t="s">
        <v>205</v>
      </c>
      <c r="K472" s="36" t="s">
        <v>206</v>
      </c>
      <c r="L472"/>
      <c r="M472"/>
      <c r="N472"/>
      <c r="O472"/>
      <c r="P472"/>
    </row>
    <row r="473" spans="1:16" ht="22.5" customHeight="1" x14ac:dyDescent="0.25">
      <c r="A473" s="8">
        <f t="shared" si="14"/>
        <v>472</v>
      </c>
      <c r="B473" s="24" t="s">
        <v>604</v>
      </c>
      <c r="C473" s="32">
        <v>41273</v>
      </c>
      <c r="D473" s="45">
        <f t="shared" ca="1" si="15"/>
        <v>13</v>
      </c>
      <c r="E473" s="25">
        <v>55</v>
      </c>
      <c r="F473" s="25" t="s">
        <v>607</v>
      </c>
      <c r="G473" s="25" t="s">
        <v>609</v>
      </c>
      <c r="H473" s="25" t="s">
        <v>612</v>
      </c>
      <c r="I473" s="44" t="s">
        <v>621</v>
      </c>
      <c r="J473" s="5" t="s">
        <v>205</v>
      </c>
      <c r="K473" s="36" t="s">
        <v>206</v>
      </c>
      <c r="L473"/>
      <c r="M473"/>
      <c r="N473"/>
      <c r="O473"/>
      <c r="P473"/>
    </row>
    <row r="474" spans="1:16" ht="22.5" customHeight="1" x14ac:dyDescent="0.25">
      <c r="A474" s="8">
        <f t="shared" si="14"/>
        <v>473</v>
      </c>
      <c r="B474" s="24" t="s">
        <v>269</v>
      </c>
      <c r="C474" s="27">
        <v>41275</v>
      </c>
      <c r="D474" s="45">
        <f t="shared" ca="1" si="15"/>
        <v>13</v>
      </c>
      <c r="E474" s="4">
        <v>45</v>
      </c>
      <c r="F474" s="4" t="s">
        <v>19</v>
      </c>
      <c r="G474" s="4" t="s">
        <v>32</v>
      </c>
      <c r="H474" s="4" t="s">
        <v>21</v>
      </c>
      <c r="I474" s="44" t="s">
        <v>620</v>
      </c>
      <c r="J474" s="5" t="s">
        <v>205</v>
      </c>
      <c r="K474" s="36" t="s">
        <v>206</v>
      </c>
      <c r="L474"/>
      <c r="M474"/>
      <c r="N474"/>
      <c r="O474"/>
      <c r="P474"/>
    </row>
    <row r="475" spans="1:16" ht="22.5" customHeight="1" x14ac:dyDescent="0.25">
      <c r="A475" s="8">
        <f t="shared" si="14"/>
        <v>474</v>
      </c>
      <c r="B475" s="24" t="s">
        <v>560</v>
      </c>
      <c r="C475" s="27">
        <v>41531</v>
      </c>
      <c r="D475" s="45">
        <f t="shared" ca="1" si="15"/>
        <v>12</v>
      </c>
      <c r="E475" s="4">
        <v>49</v>
      </c>
      <c r="F475" s="4" t="s">
        <v>19</v>
      </c>
      <c r="G475" s="4" t="s">
        <v>37</v>
      </c>
      <c r="H475" s="4" t="s">
        <v>21</v>
      </c>
      <c r="I475" s="44" t="s">
        <v>622</v>
      </c>
      <c r="J475" s="5" t="s">
        <v>205</v>
      </c>
      <c r="K475" s="36" t="s">
        <v>206</v>
      </c>
      <c r="L475"/>
      <c r="M475"/>
      <c r="N475"/>
      <c r="O475"/>
      <c r="P475"/>
    </row>
    <row r="476" spans="1:16" ht="22.5" customHeight="1" x14ac:dyDescent="0.25">
      <c r="A476" s="8">
        <f t="shared" si="14"/>
        <v>475</v>
      </c>
      <c r="B476" s="24" t="s">
        <v>204</v>
      </c>
      <c r="C476" s="27">
        <v>41142</v>
      </c>
      <c r="D476" s="45">
        <f t="shared" ca="1" si="15"/>
        <v>13</v>
      </c>
      <c r="E476" s="4">
        <v>32</v>
      </c>
      <c r="F476" s="4" t="s">
        <v>25</v>
      </c>
      <c r="G476" s="4" t="s">
        <v>61</v>
      </c>
      <c r="H476" s="4" t="s">
        <v>21</v>
      </c>
      <c r="I476" s="44" t="s">
        <v>621</v>
      </c>
      <c r="J476" s="5" t="s">
        <v>205</v>
      </c>
      <c r="K476" s="36" t="s">
        <v>206</v>
      </c>
      <c r="L476"/>
      <c r="M476"/>
      <c r="N476"/>
      <c r="O476"/>
      <c r="P476"/>
    </row>
    <row r="477" spans="1:16" ht="22.5" customHeight="1" x14ac:dyDescent="0.25">
      <c r="A477" s="8">
        <f t="shared" si="14"/>
        <v>476</v>
      </c>
      <c r="B477" s="24" t="s">
        <v>603</v>
      </c>
      <c r="C477" s="32">
        <v>41236</v>
      </c>
      <c r="D477" s="45">
        <f t="shared" ca="1" si="15"/>
        <v>13</v>
      </c>
      <c r="E477" s="25">
        <v>52</v>
      </c>
      <c r="F477" s="25" t="s">
        <v>607</v>
      </c>
      <c r="G477" s="25" t="s">
        <v>608</v>
      </c>
      <c r="H477" s="25" t="s">
        <v>612</v>
      </c>
      <c r="I477" s="44" t="s">
        <v>622</v>
      </c>
      <c r="J477" s="5" t="s">
        <v>205</v>
      </c>
      <c r="K477" s="36" t="s">
        <v>206</v>
      </c>
      <c r="L477"/>
      <c r="M477"/>
      <c r="N477"/>
      <c r="O477"/>
      <c r="P477"/>
    </row>
    <row r="478" spans="1:16" ht="22.5" customHeight="1" x14ac:dyDescent="0.25">
      <c r="A478" s="8">
        <f t="shared" si="14"/>
        <v>477</v>
      </c>
      <c r="B478" s="24" t="s">
        <v>425</v>
      </c>
      <c r="C478" s="27">
        <v>40849</v>
      </c>
      <c r="D478" s="45">
        <f t="shared" ca="1" si="15"/>
        <v>14</v>
      </c>
      <c r="E478" s="4">
        <v>45</v>
      </c>
      <c r="F478" s="4" t="s">
        <v>25</v>
      </c>
      <c r="G478" s="4" t="s">
        <v>42</v>
      </c>
      <c r="H478" s="4" t="s">
        <v>21</v>
      </c>
      <c r="I478" s="44" t="s">
        <v>622</v>
      </c>
      <c r="J478" s="5" t="s">
        <v>205</v>
      </c>
      <c r="K478" s="36" t="s">
        <v>206</v>
      </c>
      <c r="L478"/>
      <c r="M478"/>
      <c r="N478"/>
      <c r="O478"/>
      <c r="P478"/>
    </row>
    <row r="479" spans="1:16" ht="22.5" customHeight="1" x14ac:dyDescent="0.25">
      <c r="A479" s="8">
        <f t="shared" si="14"/>
        <v>478</v>
      </c>
      <c r="B479" s="24" t="s">
        <v>221</v>
      </c>
      <c r="C479" s="27">
        <v>40752</v>
      </c>
      <c r="D479" s="45">
        <f t="shared" ca="1" si="15"/>
        <v>14</v>
      </c>
      <c r="E479" s="4">
        <v>45</v>
      </c>
      <c r="F479" s="4" t="s">
        <v>25</v>
      </c>
      <c r="G479" s="4" t="s">
        <v>37</v>
      </c>
      <c r="H479" s="4" t="s">
        <v>21</v>
      </c>
      <c r="I479" s="44" t="s">
        <v>620</v>
      </c>
      <c r="J479" s="5" t="s">
        <v>205</v>
      </c>
      <c r="K479" s="36" t="s">
        <v>206</v>
      </c>
      <c r="L479"/>
      <c r="M479"/>
      <c r="N479"/>
      <c r="O479"/>
      <c r="P479"/>
    </row>
    <row r="480" spans="1:16" ht="22.5" customHeight="1" x14ac:dyDescent="0.25">
      <c r="A480" s="8">
        <f t="shared" si="14"/>
        <v>479</v>
      </c>
      <c r="B480" s="24" t="s">
        <v>415</v>
      </c>
      <c r="C480" s="33">
        <v>40801</v>
      </c>
      <c r="D480" s="45">
        <f t="shared" ca="1" si="15"/>
        <v>14</v>
      </c>
      <c r="E480" s="12">
        <v>39</v>
      </c>
      <c r="F480" s="12" t="s">
        <v>19</v>
      </c>
      <c r="G480" s="12" t="s">
        <v>61</v>
      </c>
      <c r="H480" s="12" t="s">
        <v>21</v>
      </c>
      <c r="I480" s="44" t="s">
        <v>620</v>
      </c>
      <c r="J480" s="13" t="s">
        <v>205</v>
      </c>
      <c r="K480" s="41" t="s">
        <v>206</v>
      </c>
      <c r="L480"/>
      <c r="M480"/>
      <c r="N480"/>
      <c r="O480"/>
      <c r="P480"/>
    </row>
    <row r="481" spans="1:31" ht="22.5" customHeight="1" x14ac:dyDescent="0.25">
      <c r="A481" s="8">
        <f t="shared" si="14"/>
        <v>480</v>
      </c>
      <c r="B481" s="24" t="s">
        <v>268</v>
      </c>
      <c r="C481" s="27">
        <v>40496</v>
      </c>
      <c r="D481" s="45">
        <f t="shared" ca="1" si="15"/>
        <v>15</v>
      </c>
      <c r="E481" s="4">
        <v>35</v>
      </c>
      <c r="F481" s="4" t="s">
        <v>19</v>
      </c>
      <c r="G481" s="4" t="s">
        <v>61</v>
      </c>
      <c r="H481" s="4" t="s">
        <v>21</v>
      </c>
      <c r="I481" s="44" t="s">
        <v>621</v>
      </c>
      <c r="J481" s="5" t="s">
        <v>205</v>
      </c>
      <c r="K481" s="36" t="s">
        <v>206</v>
      </c>
      <c r="L481" s="2"/>
      <c r="M481" s="2"/>
      <c r="N481" s="2"/>
      <c r="O481" s="2"/>
      <c r="P481" s="2"/>
      <c r="Q481" s="2"/>
      <c r="R481" s="2"/>
      <c r="S481" s="2"/>
      <c r="T481" s="2"/>
      <c r="U481" s="2"/>
      <c r="V481" s="2"/>
      <c r="W481" s="2"/>
      <c r="X481" s="2"/>
      <c r="Y481" s="2"/>
      <c r="Z481" s="2"/>
      <c r="AA481" s="2"/>
      <c r="AB481" s="2"/>
      <c r="AC481" s="2"/>
      <c r="AD481" s="2"/>
      <c r="AE481" s="2"/>
    </row>
    <row r="482" spans="1:31" ht="22.5" customHeight="1" x14ac:dyDescent="0.25">
      <c r="A482" s="8">
        <f t="shared" si="14"/>
        <v>481</v>
      </c>
      <c r="B482" s="24" t="s">
        <v>423</v>
      </c>
      <c r="C482" s="27">
        <v>40432</v>
      </c>
      <c r="D482" s="45">
        <f t="shared" ca="1" si="15"/>
        <v>15</v>
      </c>
      <c r="E482" s="4">
        <v>38</v>
      </c>
      <c r="F482" s="4" t="s">
        <v>19</v>
      </c>
      <c r="G482" s="4" t="s">
        <v>61</v>
      </c>
      <c r="H482" s="4" t="s">
        <v>21</v>
      </c>
      <c r="I482" s="44" t="s">
        <v>621</v>
      </c>
      <c r="J482" s="5" t="s">
        <v>205</v>
      </c>
      <c r="K482" s="36" t="s">
        <v>206</v>
      </c>
      <c r="L482" s="2"/>
      <c r="M482" s="2"/>
      <c r="N482" s="2"/>
      <c r="O482" s="2"/>
      <c r="P482" s="2"/>
      <c r="Q482" s="2"/>
      <c r="R482" s="2"/>
      <c r="S482" s="2"/>
      <c r="T482" s="2"/>
      <c r="U482" s="2"/>
      <c r="V482" s="2"/>
      <c r="W482" s="2"/>
      <c r="X482" s="2"/>
      <c r="Y482" s="2"/>
      <c r="Z482" s="2"/>
      <c r="AA482" s="2"/>
      <c r="AB482" s="2"/>
      <c r="AC482" s="2"/>
      <c r="AD482" s="2"/>
      <c r="AE482" s="2"/>
    </row>
    <row r="483" spans="1:31" ht="22.5" customHeight="1" x14ac:dyDescent="0.25">
      <c r="A483" s="8">
        <f t="shared" si="14"/>
        <v>482</v>
      </c>
      <c r="B483" s="24" t="s">
        <v>271</v>
      </c>
      <c r="C483" s="27">
        <v>40431</v>
      </c>
      <c r="D483" s="45">
        <f t="shared" ca="1" si="15"/>
        <v>15</v>
      </c>
      <c r="E483" s="4">
        <v>45</v>
      </c>
      <c r="F483" s="4" t="s">
        <v>19</v>
      </c>
      <c r="G483" s="4" t="s">
        <v>37</v>
      </c>
      <c r="H483" s="4" t="s">
        <v>21</v>
      </c>
      <c r="I483" s="44" t="s">
        <v>620</v>
      </c>
      <c r="J483" s="5" t="s">
        <v>205</v>
      </c>
      <c r="K483" s="36" t="s">
        <v>206</v>
      </c>
      <c r="L483" s="2"/>
      <c r="M483" s="2"/>
      <c r="N483" s="2"/>
      <c r="O483" s="2"/>
      <c r="P483" s="2"/>
      <c r="Q483" s="2"/>
      <c r="R483" s="2"/>
      <c r="S483" s="2"/>
      <c r="T483" s="2"/>
      <c r="U483" s="2"/>
      <c r="V483" s="2"/>
      <c r="W483" s="2"/>
      <c r="X483" s="2"/>
      <c r="Y483" s="2"/>
      <c r="Z483" s="2"/>
      <c r="AA483" s="2"/>
      <c r="AB483" s="2"/>
      <c r="AC483" s="2"/>
      <c r="AD483" s="2"/>
      <c r="AE483" s="2"/>
    </row>
    <row r="484" spans="1:31" ht="22.5" customHeight="1" x14ac:dyDescent="0.25">
      <c r="A484" s="8">
        <f t="shared" si="14"/>
        <v>483</v>
      </c>
      <c r="B484" s="24" t="s">
        <v>270</v>
      </c>
      <c r="C484" s="27">
        <v>40031</v>
      </c>
      <c r="D484" s="45">
        <f t="shared" ca="1" si="15"/>
        <v>16</v>
      </c>
      <c r="E484" s="4">
        <v>44</v>
      </c>
      <c r="F484" s="4" t="s">
        <v>25</v>
      </c>
      <c r="G484" s="4" t="s">
        <v>32</v>
      </c>
      <c r="H484" s="4" t="s">
        <v>21</v>
      </c>
      <c r="I484" s="44" t="s">
        <v>622</v>
      </c>
      <c r="J484" s="5" t="s">
        <v>205</v>
      </c>
      <c r="K484" s="36" t="s">
        <v>206</v>
      </c>
      <c r="L484" s="2"/>
      <c r="M484" s="2"/>
      <c r="N484" s="2"/>
      <c r="O484" s="2"/>
      <c r="P484" s="2"/>
      <c r="Q484" s="2"/>
      <c r="R484" s="2"/>
      <c r="S484" s="2"/>
      <c r="T484" s="2"/>
      <c r="U484" s="2"/>
      <c r="V484" s="2"/>
      <c r="W484" s="2"/>
      <c r="X484" s="2"/>
      <c r="Y484" s="2"/>
      <c r="Z484" s="2"/>
      <c r="AA484" s="2"/>
      <c r="AB484" s="2"/>
      <c r="AC484" s="2"/>
      <c r="AD484" s="2"/>
      <c r="AE484" s="2"/>
    </row>
    <row r="485" spans="1:31" ht="22.5" customHeight="1" x14ac:dyDescent="0.25">
      <c r="A485" s="8">
        <f t="shared" si="14"/>
        <v>484</v>
      </c>
      <c r="B485" s="24" t="s">
        <v>371</v>
      </c>
      <c r="C485" s="27">
        <v>39518</v>
      </c>
      <c r="D485" s="45">
        <f t="shared" ca="1" si="15"/>
        <v>18</v>
      </c>
      <c r="E485" s="4">
        <v>50</v>
      </c>
      <c r="F485" s="4" t="s">
        <v>25</v>
      </c>
      <c r="G485" s="4" t="s">
        <v>26</v>
      </c>
      <c r="H485" s="4" t="s">
        <v>21</v>
      </c>
      <c r="I485" s="44" t="s">
        <v>621</v>
      </c>
      <c r="J485" s="5" t="s">
        <v>205</v>
      </c>
      <c r="K485" s="36" t="s">
        <v>206</v>
      </c>
      <c r="L485" s="2"/>
      <c r="M485" s="2"/>
      <c r="N485" s="2"/>
      <c r="O485" s="2"/>
      <c r="P485" s="2"/>
      <c r="Q485" s="2"/>
      <c r="R485" s="2"/>
      <c r="S485" s="2"/>
      <c r="T485" s="2"/>
      <c r="U485" s="2"/>
      <c r="V485" s="2"/>
      <c r="W485" s="2"/>
      <c r="X485" s="2"/>
      <c r="Y485" s="2"/>
      <c r="Z485" s="2"/>
      <c r="AA485" s="2"/>
      <c r="AB485" s="2"/>
      <c r="AC485" s="2"/>
      <c r="AD485" s="2"/>
      <c r="AE485" s="2"/>
    </row>
    <row r="486" spans="1:31" ht="22.5" customHeight="1" x14ac:dyDescent="0.25">
      <c r="A486" s="8">
        <f t="shared" si="14"/>
        <v>485</v>
      </c>
      <c r="B486" s="24" t="s">
        <v>217</v>
      </c>
      <c r="C486" s="27">
        <v>39872</v>
      </c>
      <c r="D486" s="45">
        <f t="shared" ca="1" si="15"/>
        <v>17</v>
      </c>
      <c r="E486" s="4">
        <v>57</v>
      </c>
      <c r="F486" s="4" t="s">
        <v>25</v>
      </c>
      <c r="G486" s="4" t="s">
        <v>37</v>
      </c>
      <c r="H486" s="4" t="s">
        <v>21</v>
      </c>
      <c r="I486" s="44" t="s">
        <v>622</v>
      </c>
      <c r="J486" s="5" t="s">
        <v>205</v>
      </c>
      <c r="K486" s="36" t="s">
        <v>206</v>
      </c>
      <c r="L486" s="2"/>
      <c r="M486" s="2"/>
      <c r="N486" s="2"/>
      <c r="O486" s="2"/>
      <c r="P486" s="2"/>
      <c r="Q486" s="2"/>
      <c r="R486" s="2"/>
      <c r="S486" s="2"/>
      <c r="T486" s="2"/>
      <c r="U486" s="2"/>
      <c r="V486" s="2"/>
      <c r="W486" s="2"/>
      <c r="X486" s="2"/>
      <c r="Y486" s="2"/>
      <c r="Z486" s="2"/>
      <c r="AA486" s="2"/>
      <c r="AB486" s="2"/>
      <c r="AC486" s="2"/>
      <c r="AD486" s="2"/>
      <c r="AE486" s="2"/>
    </row>
    <row r="487" spans="1:31" ht="22.5" customHeight="1" x14ac:dyDescent="0.25">
      <c r="A487" s="8">
        <f t="shared" si="14"/>
        <v>486</v>
      </c>
      <c r="B487" s="24" t="s">
        <v>368</v>
      </c>
      <c r="C487" s="27">
        <v>40132</v>
      </c>
      <c r="D487" s="45">
        <f t="shared" ca="1" si="15"/>
        <v>16</v>
      </c>
      <c r="E487" s="4">
        <v>58</v>
      </c>
      <c r="F487" s="4" t="s">
        <v>25</v>
      </c>
      <c r="G487" s="4" t="s">
        <v>32</v>
      </c>
      <c r="H487" s="4" t="s">
        <v>21</v>
      </c>
      <c r="I487" s="44" t="s">
        <v>622</v>
      </c>
      <c r="J487" s="5" t="s">
        <v>205</v>
      </c>
      <c r="K487" s="36" t="s">
        <v>206</v>
      </c>
      <c r="L487" s="2"/>
      <c r="M487" s="2"/>
      <c r="N487" s="2"/>
      <c r="O487" s="2"/>
      <c r="P487" s="2"/>
      <c r="Q487" s="2"/>
      <c r="R487" s="2"/>
      <c r="S487" s="2"/>
      <c r="T487" s="2"/>
      <c r="U487" s="2"/>
      <c r="V487" s="2"/>
      <c r="W487" s="2"/>
      <c r="X487" s="2"/>
      <c r="Y487" s="2"/>
      <c r="Z487" s="2"/>
      <c r="AA487" s="2"/>
      <c r="AB487" s="2"/>
      <c r="AC487" s="2"/>
      <c r="AD487" s="2"/>
      <c r="AE487" s="2"/>
    </row>
    <row r="488" spans="1:31" ht="22.5" customHeight="1" x14ac:dyDescent="0.25">
      <c r="A488" s="8">
        <f t="shared" si="14"/>
        <v>487</v>
      </c>
      <c r="B488" s="24" t="s">
        <v>317</v>
      </c>
      <c r="C488" s="27">
        <v>39547</v>
      </c>
      <c r="D488" s="45">
        <f t="shared" ca="1" si="15"/>
        <v>17</v>
      </c>
      <c r="E488" s="4">
        <v>60</v>
      </c>
      <c r="F488" s="4" t="s">
        <v>25</v>
      </c>
      <c r="G488" s="4" t="s">
        <v>26</v>
      </c>
      <c r="H488" s="4" t="s">
        <v>21</v>
      </c>
      <c r="I488" s="44" t="s">
        <v>620</v>
      </c>
      <c r="J488" s="5" t="s">
        <v>205</v>
      </c>
      <c r="K488" s="36" t="s">
        <v>206</v>
      </c>
      <c r="L488" s="2"/>
      <c r="M488" s="2"/>
      <c r="N488" s="2"/>
      <c r="O488" s="2"/>
      <c r="P488" s="2"/>
      <c r="Q488" s="2"/>
      <c r="R488" s="2"/>
      <c r="S488" s="2"/>
      <c r="T488" s="2"/>
      <c r="U488" s="2"/>
      <c r="V488" s="2"/>
      <c r="W488" s="2"/>
      <c r="X488" s="2"/>
      <c r="Y488" s="2"/>
      <c r="Z488" s="2"/>
      <c r="AA488" s="2"/>
      <c r="AB488" s="2"/>
      <c r="AC488" s="2"/>
      <c r="AD488" s="2"/>
      <c r="AE488" s="2"/>
    </row>
    <row r="489" spans="1:31" ht="22.5" customHeight="1" x14ac:dyDescent="0.25">
      <c r="A489" s="8">
        <f t="shared" si="14"/>
        <v>488</v>
      </c>
      <c r="B489" s="24" t="s">
        <v>605</v>
      </c>
      <c r="C489" s="32">
        <v>40019</v>
      </c>
      <c r="D489" s="45">
        <f t="shared" ca="1" si="15"/>
        <v>16</v>
      </c>
      <c r="E489" s="25">
        <v>49</v>
      </c>
      <c r="F489" s="25" t="s">
        <v>607</v>
      </c>
      <c r="G489" s="25" t="s">
        <v>610</v>
      </c>
      <c r="H489" s="25" t="s">
        <v>612</v>
      </c>
      <c r="I489" s="44" t="s">
        <v>620</v>
      </c>
      <c r="J489" s="5" t="s">
        <v>205</v>
      </c>
      <c r="K489" s="36" t="s">
        <v>206</v>
      </c>
      <c r="L489" s="2"/>
      <c r="M489" s="2"/>
      <c r="N489" s="2"/>
      <c r="O489" s="2"/>
      <c r="P489" s="2"/>
      <c r="Q489" s="2"/>
      <c r="R489" s="2"/>
      <c r="S489" s="2"/>
      <c r="T489" s="2"/>
      <c r="U489" s="2"/>
      <c r="V489" s="2"/>
      <c r="W489" s="2"/>
      <c r="X489" s="2"/>
      <c r="Y489" s="2"/>
      <c r="Z489" s="2"/>
      <c r="AA489" s="2"/>
      <c r="AB489" s="2"/>
      <c r="AC489" s="2"/>
      <c r="AD489" s="2"/>
      <c r="AE489" s="2"/>
    </row>
    <row r="490" spans="1:31" ht="22.5" customHeight="1" x14ac:dyDescent="0.25">
      <c r="A490" s="8">
        <f t="shared" si="14"/>
        <v>489</v>
      </c>
      <c r="B490" s="24" t="s">
        <v>530</v>
      </c>
      <c r="C490" s="27">
        <v>42306</v>
      </c>
      <c r="D490" s="45">
        <f t="shared" ca="1" si="15"/>
        <v>10</v>
      </c>
      <c r="E490" s="4">
        <v>35</v>
      </c>
      <c r="F490" s="4" t="s">
        <v>25</v>
      </c>
      <c r="G490" s="4" t="s">
        <v>34</v>
      </c>
      <c r="H490" s="4" t="s">
        <v>45</v>
      </c>
      <c r="I490" s="44" t="s">
        <v>621</v>
      </c>
      <c r="J490" s="5" t="s">
        <v>205</v>
      </c>
      <c r="K490" s="36" t="s">
        <v>206</v>
      </c>
      <c r="L490" s="2"/>
      <c r="M490" s="2"/>
      <c r="N490" s="2"/>
      <c r="O490" s="2"/>
      <c r="P490" s="2"/>
      <c r="Q490" s="2"/>
      <c r="R490" s="2"/>
      <c r="S490" s="2"/>
      <c r="T490" s="2"/>
      <c r="U490" s="2"/>
      <c r="V490" s="2"/>
      <c r="W490" s="2"/>
      <c r="X490" s="2"/>
      <c r="Y490" s="2"/>
      <c r="Z490" s="2"/>
      <c r="AA490" s="2"/>
      <c r="AB490" s="2"/>
      <c r="AC490" s="2"/>
      <c r="AD490" s="2"/>
      <c r="AE490" s="2"/>
    </row>
    <row r="491" spans="1:31" ht="22.5" customHeight="1" x14ac:dyDescent="0.25">
      <c r="A491" s="8">
        <f t="shared" si="14"/>
        <v>490</v>
      </c>
      <c r="B491" s="24" t="s">
        <v>280</v>
      </c>
      <c r="C491" s="27">
        <v>41608</v>
      </c>
      <c r="D491" s="45">
        <f t="shared" ca="1" si="15"/>
        <v>12</v>
      </c>
      <c r="E491" s="4">
        <v>32</v>
      </c>
      <c r="F491" s="4" t="s">
        <v>19</v>
      </c>
      <c r="G491" s="4" t="s">
        <v>28</v>
      </c>
      <c r="H491" s="4" t="s">
        <v>45</v>
      </c>
      <c r="I491" s="44" t="s">
        <v>621</v>
      </c>
      <c r="J491" s="5" t="s">
        <v>205</v>
      </c>
      <c r="K491" s="36" t="s">
        <v>206</v>
      </c>
      <c r="L491" s="2"/>
      <c r="M491" s="2"/>
      <c r="N491" s="2"/>
      <c r="O491" s="2"/>
      <c r="P491" s="2"/>
      <c r="Q491" s="2"/>
      <c r="R491" s="2"/>
      <c r="S491" s="2"/>
      <c r="T491" s="2"/>
      <c r="U491" s="2"/>
      <c r="V491" s="2"/>
      <c r="W491" s="2"/>
      <c r="X491" s="2"/>
      <c r="Y491" s="2"/>
      <c r="Z491" s="2"/>
      <c r="AA491" s="2"/>
      <c r="AB491" s="2"/>
      <c r="AC491" s="2"/>
      <c r="AD491" s="2"/>
      <c r="AE491" s="2"/>
    </row>
    <row r="492" spans="1:31" ht="22.5" customHeight="1" x14ac:dyDescent="0.25">
      <c r="A492" s="8">
        <f t="shared" si="14"/>
        <v>491</v>
      </c>
      <c r="B492" s="24" t="s">
        <v>557</v>
      </c>
      <c r="C492" s="27">
        <v>43488</v>
      </c>
      <c r="D492" s="45">
        <f t="shared" ca="1" si="15"/>
        <v>7</v>
      </c>
      <c r="E492" s="4">
        <v>0</v>
      </c>
      <c r="F492" s="4" t="s">
        <v>25</v>
      </c>
      <c r="G492" s="4" t="s">
        <v>50</v>
      </c>
      <c r="H492" s="4" t="s">
        <v>51</v>
      </c>
      <c r="I492" s="44" t="s">
        <v>620</v>
      </c>
      <c r="J492" s="5" t="s">
        <v>493</v>
      </c>
      <c r="K492" s="36" t="s">
        <v>494</v>
      </c>
      <c r="L492" s="2"/>
      <c r="M492" s="2"/>
      <c r="N492" s="2"/>
      <c r="O492" s="2"/>
      <c r="P492" s="2"/>
      <c r="Q492" s="2"/>
      <c r="R492" s="2"/>
      <c r="S492" s="2"/>
      <c r="T492" s="2"/>
      <c r="U492" s="2"/>
      <c r="V492" s="2"/>
      <c r="W492" s="2"/>
      <c r="X492" s="2"/>
      <c r="Y492" s="2"/>
      <c r="Z492" s="2"/>
      <c r="AA492" s="2"/>
      <c r="AB492" s="2"/>
      <c r="AC492" s="2"/>
      <c r="AD492" s="2"/>
      <c r="AE492" s="2"/>
    </row>
    <row r="493" spans="1:31" ht="22.5" customHeight="1" x14ac:dyDescent="0.25">
      <c r="A493" s="8">
        <f t="shared" si="14"/>
        <v>492</v>
      </c>
      <c r="B493" s="24" t="s">
        <v>555</v>
      </c>
      <c r="C493" s="27">
        <v>43217</v>
      </c>
      <c r="D493" s="45">
        <f t="shared" ca="1" si="15"/>
        <v>7</v>
      </c>
      <c r="E493" s="4">
        <v>13</v>
      </c>
      <c r="F493" s="4" t="s">
        <v>25</v>
      </c>
      <c r="G493" s="4" t="s">
        <v>28</v>
      </c>
      <c r="H493" s="4" t="s">
        <v>21</v>
      </c>
      <c r="I493" s="44" t="s">
        <v>622</v>
      </c>
      <c r="J493" s="5" t="s">
        <v>493</v>
      </c>
      <c r="K493" s="36" t="s">
        <v>494</v>
      </c>
      <c r="L493" s="2"/>
      <c r="M493" s="2"/>
      <c r="N493" s="2"/>
      <c r="O493" s="2"/>
      <c r="P493" s="2"/>
      <c r="Q493" s="2"/>
      <c r="R493" s="2"/>
      <c r="S493" s="2"/>
      <c r="T493" s="2"/>
      <c r="U493" s="2"/>
      <c r="V493" s="2"/>
      <c r="W493" s="2"/>
      <c r="X493" s="2"/>
      <c r="Y493" s="2"/>
      <c r="Z493" s="2"/>
      <c r="AA493" s="2"/>
      <c r="AB493" s="2"/>
      <c r="AC493" s="2"/>
      <c r="AD493" s="2"/>
      <c r="AE493" s="2"/>
    </row>
    <row r="494" spans="1:31" ht="22.5" customHeight="1" x14ac:dyDescent="0.25">
      <c r="A494" s="8">
        <f t="shared" si="14"/>
        <v>493</v>
      </c>
      <c r="B494" s="24" t="s">
        <v>506</v>
      </c>
      <c r="C494" s="27">
        <v>43252</v>
      </c>
      <c r="D494" s="45">
        <f t="shared" ca="1" si="15"/>
        <v>7</v>
      </c>
      <c r="E494" s="4">
        <v>19</v>
      </c>
      <c r="F494" s="4" t="s">
        <v>19</v>
      </c>
      <c r="G494" s="4" t="s">
        <v>28</v>
      </c>
      <c r="H494" s="4" t="s">
        <v>21</v>
      </c>
      <c r="I494" s="44" t="s">
        <v>621</v>
      </c>
      <c r="J494" s="5" t="s">
        <v>493</v>
      </c>
      <c r="K494" s="36" t="s">
        <v>494</v>
      </c>
      <c r="L494" s="2"/>
      <c r="M494" s="2"/>
      <c r="N494" s="2"/>
      <c r="O494" s="2"/>
      <c r="P494" s="2"/>
      <c r="Q494" s="2"/>
      <c r="R494" s="2"/>
      <c r="S494" s="2"/>
      <c r="T494" s="2"/>
      <c r="U494" s="2"/>
      <c r="V494" s="2"/>
      <c r="W494" s="2"/>
      <c r="X494" s="2"/>
      <c r="Y494" s="2"/>
      <c r="Z494" s="2"/>
      <c r="AA494" s="2"/>
      <c r="AB494" s="2"/>
      <c r="AC494" s="2"/>
      <c r="AD494" s="2"/>
      <c r="AE494" s="2"/>
    </row>
    <row r="495" spans="1:31" ht="22.5" customHeight="1" x14ac:dyDescent="0.25">
      <c r="A495" s="8">
        <f t="shared" si="14"/>
        <v>494</v>
      </c>
      <c r="B495" s="24" t="s">
        <v>496</v>
      </c>
      <c r="C495" s="27">
        <v>42736</v>
      </c>
      <c r="D495" s="45">
        <f t="shared" ca="1" si="15"/>
        <v>9</v>
      </c>
      <c r="E495" s="4">
        <v>29</v>
      </c>
      <c r="F495" s="4" t="s">
        <v>19</v>
      </c>
      <c r="G495" s="4" t="s">
        <v>39</v>
      </c>
      <c r="H495" s="4" t="s">
        <v>21</v>
      </c>
      <c r="I495" s="44" t="s">
        <v>622</v>
      </c>
      <c r="J495" s="5" t="s">
        <v>493</v>
      </c>
      <c r="K495" s="36" t="s">
        <v>494</v>
      </c>
      <c r="L495" s="2"/>
      <c r="M495" s="2"/>
      <c r="N495" s="2"/>
      <c r="O495" s="2"/>
      <c r="P495" s="2"/>
      <c r="Q495" s="2"/>
      <c r="R495" s="2"/>
      <c r="S495" s="2"/>
      <c r="T495" s="2"/>
      <c r="U495" s="2"/>
      <c r="V495" s="2"/>
      <c r="W495" s="2"/>
      <c r="X495" s="2"/>
      <c r="Y495" s="2"/>
      <c r="Z495" s="2"/>
      <c r="AA495" s="2"/>
      <c r="AB495" s="2"/>
      <c r="AC495" s="2"/>
      <c r="AD495" s="2"/>
      <c r="AE495" s="2"/>
    </row>
    <row r="496" spans="1:31" ht="22.5" customHeight="1" x14ac:dyDescent="0.25">
      <c r="A496" s="8">
        <f t="shared" si="14"/>
        <v>495</v>
      </c>
      <c r="B496" s="24" t="s">
        <v>510</v>
      </c>
      <c r="C496" s="27">
        <v>42676</v>
      </c>
      <c r="D496" s="45">
        <f t="shared" ca="1" si="15"/>
        <v>9</v>
      </c>
      <c r="E496" s="4">
        <v>30</v>
      </c>
      <c r="F496" s="4" t="s">
        <v>25</v>
      </c>
      <c r="G496" s="4" t="s">
        <v>42</v>
      </c>
      <c r="H496" s="4" t="s">
        <v>21</v>
      </c>
      <c r="I496" s="44" t="s">
        <v>622</v>
      </c>
      <c r="J496" s="5" t="s">
        <v>493</v>
      </c>
      <c r="K496" s="36" t="s">
        <v>494</v>
      </c>
      <c r="L496" s="2"/>
      <c r="M496" s="2"/>
      <c r="N496" s="2"/>
      <c r="O496" s="2"/>
      <c r="P496" s="2"/>
      <c r="Q496" s="2"/>
      <c r="R496" s="2"/>
      <c r="S496" s="2"/>
      <c r="T496" s="2"/>
      <c r="U496" s="2"/>
      <c r="V496" s="2"/>
      <c r="W496" s="2"/>
      <c r="X496" s="2"/>
      <c r="Y496" s="2"/>
      <c r="Z496" s="2"/>
      <c r="AA496" s="2"/>
      <c r="AB496" s="2"/>
      <c r="AC496" s="2"/>
      <c r="AD496" s="2"/>
      <c r="AE496" s="2"/>
    </row>
    <row r="497" spans="1:33" ht="22.5" customHeight="1" x14ac:dyDescent="0.25">
      <c r="A497" s="8">
        <f t="shared" si="14"/>
        <v>496</v>
      </c>
      <c r="B497" s="24" t="s">
        <v>509</v>
      </c>
      <c r="C497" s="27">
        <v>42392</v>
      </c>
      <c r="D497" s="45">
        <f t="shared" ca="1" si="15"/>
        <v>10</v>
      </c>
      <c r="E497" s="4">
        <v>39</v>
      </c>
      <c r="F497" s="4" t="s">
        <v>25</v>
      </c>
      <c r="G497" s="4" t="s">
        <v>39</v>
      </c>
      <c r="H497" s="4" t="s">
        <v>21</v>
      </c>
      <c r="I497" s="44" t="s">
        <v>620</v>
      </c>
      <c r="J497" s="5" t="s">
        <v>493</v>
      </c>
      <c r="K497" s="36" t="s">
        <v>494</v>
      </c>
      <c r="L497" s="2"/>
      <c r="M497" s="2"/>
      <c r="N497" s="2"/>
      <c r="O497" s="2"/>
      <c r="P497" s="2"/>
      <c r="Q497" s="2"/>
      <c r="R497" s="2"/>
      <c r="S497" s="2"/>
      <c r="T497" s="2"/>
      <c r="U497" s="2"/>
      <c r="V497" s="2"/>
      <c r="W497" s="2"/>
      <c r="X497" s="2"/>
      <c r="Y497" s="2"/>
      <c r="Z497" s="2"/>
      <c r="AA497" s="2"/>
      <c r="AB497" s="2"/>
      <c r="AC497" s="2"/>
      <c r="AD497" s="2"/>
      <c r="AE497" s="2"/>
    </row>
    <row r="498" spans="1:33" ht="22.5" customHeight="1" x14ac:dyDescent="0.25">
      <c r="A498" s="8">
        <f t="shared" si="14"/>
        <v>497</v>
      </c>
      <c r="B498" s="24" t="s">
        <v>492</v>
      </c>
      <c r="C498" s="27">
        <v>42599</v>
      </c>
      <c r="D498" s="45">
        <f t="shared" ca="1" si="15"/>
        <v>9</v>
      </c>
      <c r="E498" s="4">
        <v>18</v>
      </c>
      <c r="F498" s="4" t="s">
        <v>19</v>
      </c>
      <c r="G498" s="4" t="s">
        <v>50</v>
      </c>
      <c r="H498" s="4" t="s">
        <v>21</v>
      </c>
      <c r="I498" s="44" t="s">
        <v>620</v>
      </c>
      <c r="J498" s="5" t="s">
        <v>493</v>
      </c>
      <c r="K498" s="36" t="s">
        <v>494</v>
      </c>
      <c r="L498" s="2"/>
      <c r="M498" s="2"/>
      <c r="N498" s="2"/>
      <c r="O498" s="2"/>
      <c r="P498" s="2"/>
      <c r="Q498" s="2"/>
      <c r="R498" s="2"/>
      <c r="S498" s="2"/>
      <c r="T498" s="2"/>
      <c r="U498" s="2"/>
      <c r="V498" s="2"/>
      <c r="W498" s="2"/>
      <c r="X498" s="2"/>
      <c r="Y498" s="2"/>
      <c r="Z498" s="2"/>
      <c r="AA498" s="2"/>
      <c r="AB498" s="2"/>
      <c r="AC498" s="2"/>
      <c r="AD498" s="2"/>
      <c r="AE498" s="2"/>
    </row>
    <row r="499" spans="1:33" ht="22.5" customHeight="1" x14ac:dyDescent="0.25">
      <c r="A499" s="8">
        <f t="shared" si="14"/>
        <v>498</v>
      </c>
      <c r="B499" s="24" t="s">
        <v>495</v>
      </c>
      <c r="C499" s="33">
        <v>42486</v>
      </c>
      <c r="D499" s="45">
        <f t="shared" ca="1" si="15"/>
        <v>9</v>
      </c>
      <c r="E499" s="12">
        <v>23</v>
      </c>
      <c r="F499" s="12" t="s">
        <v>19</v>
      </c>
      <c r="G499" s="12" t="s">
        <v>28</v>
      </c>
      <c r="H499" s="12" t="s">
        <v>21</v>
      </c>
      <c r="I499" s="44" t="s">
        <v>621</v>
      </c>
      <c r="J499" s="13" t="s">
        <v>493</v>
      </c>
      <c r="K499" s="41" t="s">
        <v>494</v>
      </c>
      <c r="L499" s="2"/>
      <c r="M499" s="2"/>
      <c r="N499" s="2"/>
      <c r="O499" s="2"/>
      <c r="P499" s="2"/>
      <c r="Q499" s="2"/>
      <c r="R499" s="2"/>
      <c r="S499" s="2"/>
      <c r="T499" s="2"/>
      <c r="U499" s="2"/>
      <c r="V499" s="2"/>
      <c r="W499" s="2"/>
      <c r="X499" s="2"/>
      <c r="Y499" s="2"/>
      <c r="Z499" s="2"/>
      <c r="AA499" s="2"/>
      <c r="AB499" s="2"/>
      <c r="AC499" s="2"/>
      <c r="AD499" s="2"/>
      <c r="AE499" s="2"/>
    </row>
    <row r="500" spans="1:33" ht="22.5" customHeight="1" x14ac:dyDescent="0.25">
      <c r="A500" s="8">
        <f t="shared" si="14"/>
        <v>499</v>
      </c>
      <c r="B500" s="24" t="s">
        <v>499</v>
      </c>
      <c r="C500" s="33">
        <v>42719</v>
      </c>
      <c r="D500" s="45">
        <f t="shared" ca="1" si="15"/>
        <v>9</v>
      </c>
      <c r="E500" s="12">
        <v>38</v>
      </c>
      <c r="F500" s="12" t="s">
        <v>19</v>
      </c>
      <c r="G500" s="12" t="s">
        <v>42</v>
      </c>
      <c r="H500" s="12" t="s">
        <v>21</v>
      </c>
      <c r="I500" s="44" t="s">
        <v>621</v>
      </c>
      <c r="J500" s="13" t="s">
        <v>493</v>
      </c>
      <c r="K500" s="41" t="s">
        <v>494</v>
      </c>
      <c r="L500" s="2"/>
      <c r="M500" s="2"/>
      <c r="N500" s="2"/>
      <c r="O500" s="2"/>
      <c r="P500" s="2"/>
      <c r="Q500" s="2"/>
      <c r="R500" s="2"/>
      <c r="S500" s="2"/>
      <c r="T500" s="2"/>
      <c r="U500" s="2"/>
      <c r="V500" s="2"/>
      <c r="W500" s="2"/>
      <c r="X500" s="2"/>
      <c r="Y500" s="2"/>
      <c r="Z500" s="2"/>
      <c r="AA500" s="2"/>
      <c r="AB500" s="2"/>
      <c r="AC500" s="2"/>
      <c r="AD500" s="2"/>
      <c r="AE500" s="2"/>
    </row>
    <row r="501" spans="1:33" ht="22.5" customHeight="1" x14ac:dyDescent="0.25">
      <c r="A501" s="8">
        <f t="shared" si="14"/>
        <v>500</v>
      </c>
      <c r="B501" s="24" t="s">
        <v>556</v>
      </c>
      <c r="C501" s="33">
        <v>42299</v>
      </c>
      <c r="D501" s="45">
        <f t="shared" ca="1" si="15"/>
        <v>10</v>
      </c>
      <c r="E501" s="12">
        <v>0</v>
      </c>
      <c r="F501" s="12" t="s">
        <v>19</v>
      </c>
      <c r="G501" s="12" t="s">
        <v>50</v>
      </c>
      <c r="H501" s="12" t="s">
        <v>51</v>
      </c>
      <c r="I501" s="44" t="s">
        <v>620</v>
      </c>
      <c r="J501" s="13" t="s">
        <v>493</v>
      </c>
      <c r="K501" s="41" t="s">
        <v>494</v>
      </c>
      <c r="L501" s="2"/>
      <c r="M501" s="2"/>
      <c r="N501" s="2"/>
      <c r="O501" s="2"/>
      <c r="P501" s="2"/>
      <c r="Q501" s="2"/>
      <c r="R501" s="2"/>
      <c r="S501" s="2"/>
      <c r="T501" s="2"/>
      <c r="U501" s="2"/>
      <c r="V501" s="2"/>
      <c r="W501" s="2"/>
      <c r="X501" s="2"/>
      <c r="Y501" s="2"/>
      <c r="Z501" s="2"/>
      <c r="AA501" s="2"/>
      <c r="AB501" s="2"/>
      <c r="AC501" s="2"/>
      <c r="AD501" s="2"/>
      <c r="AE501" s="2"/>
    </row>
    <row r="502" spans="1:33" ht="22.5" customHeight="1" x14ac:dyDescent="0.25">
      <c r="A502" s="8">
        <f t="shared" si="14"/>
        <v>501</v>
      </c>
      <c r="B502" s="24" t="s">
        <v>497</v>
      </c>
      <c r="C502" s="33">
        <v>41667</v>
      </c>
      <c r="D502" s="45">
        <f t="shared" ca="1" si="15"/>
        <v>12</v>
      </c>
      <c r="E502" s="12">
        <v>38</v>
      </c>
      <c r="F502" s="12" t="s">
        <v>19</v>
      </c>
      <c r="G502" s="12" t="s">
        <v>50</v>
      </c>
      <c r="H502" s="12" t="s">
        <v>21</v>
      </c>
      <c r="I502" s="44" t="s">
        <v>622</v>
      </c>
      <c r="J502" s="13" t="s">
        <v>493</v>
      </c>
      <c r="K502" s="41" t="s">
        <v>494</v>
      </c>
      <c r="L502" s="2"/>
      <c r="M502" s="2"/>
      <c r="N502" s="2"/>
      <c r="O502" s="2"/>
      <c r="P502" s="2"/>
      <c r="Q502" s="2"/>
      <c r="R502" s="2"/>
      <c r="S502" s="2"/>
      <c r="T502" s="2"/>
      <c r="U502" s="2"/>
      <c r="V502" s="2"/>
      <c r="W502" s="2"/>
      <c r="X502" s="2"/>
      <c r="Y502" s="2"/>
      <c r="Z502" s="2"/>
      <c r="AA502" s="2"/>
      <c r="AB502" s="2"/>
      <c r="AC502" s="2"/>
      <c r="AD502" s="2"/>
      <c r="AE502" s="2"/>
    </row>
    <row r="503" spans="1:33" ht="22.5" customHeight="1" x14ac:dyDescent="0.25">
      <c r="A503" s="8">
        <f t="shared" si="14"/>
        <v>502</v>
      </c>
      <c r="B503" s="24" t="s">
        <v>498</v>
      </c>
      <c r="C503" s="33">
        <v>41728</v>
      </c>
      <c r="D503" s="45">
        <f t="shared" ca="1" si="15"/>
        <v>11</v>
      </c>
      <c r="E503" s="12">
        <v>44</v>
      </c>
      <c r="F503" s="12" t="s">
        <v>19</v>
      </c>
      <c r="G503" s="12" t="s">
        <v>42</v>
      </c>
      <c r="H503" s="12" t="s">
        <v>21</v>
      </c>
      <c r="I503" s="44" t="s">
        <v>621</v>
      </c>
      <c r="J503" s="13" t="s">
        <v>493</v>
      </c>
      <c r="K503" s="41" t="s">
        <v>494</v>
      </c>
      <c r="L503" s="2"/>
      <c r="M503" s="2"/>
      <c r="N503" s="2"/>
      <c r="O503" s="2"/>
      <c r="P503" s="2"/>
      <c r="Q503" s="2"/>
      <c r="R503" s="2"/>
      <c r="S503" s="2"/>
      <c r="T503" s="2"/>
      <c r="U503" s="2"/>
      <c r="V503" s="2"/>
      <c r="W503" s="2"/>
      <c r="X503" s="2"/>
      <c r="Y503" s="2"/>
      <c r="Z503" s="2"/>
      <c r="AA503" s="2"/>
      <c r="AB503" s="2"/>
      <c r="AC503" s="2"/>
      <c r="AD503" s="2"/>
      <c r="AE503" s="2"/>
    </row>
    <row r="504" spans="1:33" ht="22.5" customHeight="1" x14ac:dyDescent="0.25">
      <c r="A504" s="8">
        <f t="shared" si="14"/>
        <v>503</v>
      </c>
      <c r="B504" s="24" t="s">
        <v>508</v>
      </c>
      <c r="C504" s="33">
        <v>41792</v>
      </c>
      <c r="D504" s="45">
        <f t="shared" ca="1" si="15"/>
        <v>11</v>
      </c>
      <c r="E504" s="12">
        <v>51</v>
      </c>
      <c r="F504" s="12" t="s">
        <v>19</v>
      </c>
      <c r="G504" s="12" t="s">
        <v>20</v>
      </c>
      <c r="H504" s="12" t="s">
        <v>21</v>
      </c>
      <c r="I504" s="44" t="s">
        <v>622</v>
      </c>
      <c r="J504" s="13" t="s">
        <v>493</v>
      </c>
      <c r="K504" s="41" t="s">
        <v>494</v>
      </c>
      <c r="L504" s="2"/>
      <c r="M504" s="2"/>
      <c r="N504" s="2"/>
      <c r="O504" s="2"/>
      <c r="P504" s="2"/>
      <c r="Q504" s="2"/>
      <c r="R504" s="2"/>
      <c r="S504" s="2"/>
      <c r="T504" s="2"/>
      <c r="U504" s="2"/>
      <c r="V504" s="2"/>
      <c r="W504" s="2"/>
      <c r="X504" s="2"/>
      <c r="Y504" s="2"/>
      <c r="Z504" s="2"/>
      <c r="AA504" s="2"/>
      <c r="AB504" s="2"/>
      <c r="AC504" s="2"/>
      <c r="AD504" s="2"/>
      <c r="AE504" s="2"/>
    </row>
    <row r="505" spans="1:33" ht="22.5" customHeight="1" x14ac:dyDescent="0.25">
      <c r="A505" s="8">
        <f t="shared" si="14"/>
        <v>504</v>
      </c>
      <c r="B505" s="24" t="s">
        <v>501</v>
      </c>
      <c r="C505" s="33">
        <v>41457</v>
      </c>
      <c r="D505" s="45">
        <f t="shared" ca="1" si="15"/>
        <v>12</v>
      </c>
      <c r="E505" s="12">
        <v>24</v>
      </c>
      <c r="F505" s="12" t="s">
        <v>25</v>
      </c>
      <c r="G505" s="12" t="s">
        <v>34</v>
      </c>
      <c r="H505" s="12" t="s">
        <v>21</v>
      </c>
      <c r="I505" s="44" t="s">
        <v>622</v>
      </c>
      <c r="J505" s="13" t="s">
        <v>493</v>
      </c>
      <c r="K505" s="41" t="s">
        <v>494</v>
      </c>
      <c r="L505" s="2"/>
      <c r="M505" s="2"/>
      <c r="N505" s="2"/>
      <c r="O505" s="2"/>
      <c r="P505" s="2"/>
      <c r="Q505" s="2"/>
      <c r="R505" s="2"/>
      <c r="S505" s="2"/>
      <c r="T505" s="2"/>
      <c r="U505" s="2"/>
      <c r="V505" s="2"/>
      <c r="W505" s="2"/>
      <c r="X505" s="2"/>
      <c r="Y505" s="2"/>
      <c r="Z505" s="2"/>
      <c r="AA505" s="2"/>
      <c r="AB505" s="2"/>
      <c r="AC505" s="2"/>
      <c r="AD505" s="2"/>
      <c r="AE505" s="2"/>
    </row>
    <row r="506" spans="1:33" ht="18.649999999999999" customHeight="1" x14ac:dyDescent="0.25">
      <c r="A506" s="8">
        <f t="shared" si="14"/>
        <v>505</v>
      </c>
      <c r="B506" s="24" t="s">
        <v>505</v>
      </c>
      <c r="C506" s="33">
        <v>41608</v>
      </c>
      <c r="D506" s="45">
        <f t="shared" ca="1" si="15"/>
        <v>12</v>
      </c>
      <c r="E506" s="12">
        <v>32</v>
      </c>
      <c r="F506" s="12" t="s">
        <v>19</v>
      </c>
      <c r="G506" s="12" t="s">
        <v>34</v>
      </c>
      <c r="H506" s="12" t="s">
        <v>21</v>
      </c>
      <c r="I506" s="44" t="s">
        <v>620</v>
      </c>
      <c r="J506" s="13" t="s">
        <v>493</v>
      </c>
      <c r="K506" s="41" t="s">
        <v>494</v>
      </c>
      <c r="L506" s="2"/>
      <c r="M506" s="2"/>
      <c r="N506" s="2"/>
      <c r="O506" s="2"/>
      <c r="P506" s="2"/>
      <c r="Q506" s="2"/>
      <c r="R506" s="2"/>
      <c r="S506" s="2"/>
      <c r="T506" s="2"/>
      <c r="U506" s="2"/>
      <c r="V506" s="2"/>
      <c r="W506" s="2"/>
      <c r="X506" s="2"/>
      <c r="Y506" s="2"/>
      <c r="Z506" s="2"/>
      <c r="AA506" s="2"/>
      <c r="AB506" s="2"/>
      <c r="AC506" s="2"/>
      <c r="AD506" s="2"/>
      <c r="AE506" s="2"/>
    </row>
    <row r="507" spans="1:33" ht="21" customHeight="1" x14ac:dyDescent="0.25">
      <c r="A507" s="8">
        <f t="shared" si="14"/>
        <v>506</v>
      </c>
      <c r="B507" s="24" t="s">
        <v>504</v>
      </c>
      <c r="C507" s="33">
        <v>41089</v>
      </c>
      <c r="D507" s="45">
        <f t="shared" ca="1" si="15"/>
        <v>13</v>
      </c>
      <c r="E507" s="12">
        <v>32</v>
      </c>
      <c r="F507" s="12" t="s">
        <v>25</v>
      </c>
      <c r="G507" s="12" t="s">
        <v>34</v>
      </c>
      <c r="H507" s="12" t="s">
        <v>21</v>
      </c>
      <c r="I507" s="44" t="s">
        <v>620</v>
      </c>
      <c r="J507" s="13" t="s">
        <v>493</v>
      </c>
      <c r="K507" s="41" t="s">
        <v>494</v>
      </c>
      <c r="L507" s="2"/>
      <c r="M507" s="2"/>
      <c r="N507" s="2"/>
      <c r="O507" s="2"/>
      <c r="P507" s="2"/>
      <c r="Q507" s="2"/>
      <c r="R507" s="2"/>
      <c r="S507" s="2"/>
      <c r="T507" s="2"/>
      <c r="U507" s="2"/>
      <c r="V507" s="2"/>
      <c r="W507" s="2"/>
      <c r="X507" s="2"/>
      <c r="Y507" s="2"/>
      <c r="Z507" s="2"/>
      <c r="AA507" s="2"/>
      <c r="AB507" s="2"/>
      <c r="AC507" s="2"/>
      <c r="AD507" s="2"/>
      <c r="AE507" s="2"/>
    </row>
    <row r="508" spans="1:33" ht="22.5" customHeight="1" x14ac:dyDescent="0.25">
      <c r="A508" s="8">
        <f t="shared" si="14"/>
        <v>507</v>
      </c>
      <c r="B508" s="24" t="s">
        <v>507</v>
      </c>
      <c r="C508" s="33">
        <v>41259</v>
      </c>
      <c r="D508" s="45">
        <f t="shared" ca="1" si="15"/>
        <v>13</v>
      </c>
      <c r="E508" s="12">
        <v>45</v>
      </c>
      <c r="F508" s="12" t="s">
        <v>19</v>
      </c>
      <c r="G508" s="12" t="s">
        <v>20</v>
      </c>
      <c r="H508" s="12" t="s">
        <v>21</v>
      </c>
      <c r="I508" s="44" t="s">
        <v>621</v>
      </c>
      <c r="J508" s="13" t="s">
        <v>493</v>
      </c>
      <c r="K508" s="41" t="s">
        <v>494</v>
      </c>
      <c r="L508" s="6"/>
      <c r="M508" s="6"/>
      <c r="N508" s="2"/>
      <c r="O508" s="2"/>
      <c r="P508" s="2"/>
      <c r="Q508" s="2"/>
      <c r="R508" s="2"/>
      <c r="S508" s="2"/>
      <c r="T508" s="2"/>
      <c r="U508" s="2"/>
      <c r="V508" s="2"/>
      <c r="W508" s="2"/>
      <c r="X508" s="2"/>
      <c r="Y508" s="2"/>
      <c r="Z508" s="2"/>
      <c r="AA508" s="2"/>
      <c r="AB508" s="2"/>
      <c r="AC508" s="2"/>
      <c r="AD508" s="2"/>
      <c r="AE508" s="2"/>
      <c r="AF508" s="2"/>
      <c r="AG508" s="2"/>
    </row>
    <row r="509" spans="1:33" ht="22.5" customHeight="1" x14ac:dyDescent="0.25">
      <c r="A509" s="8">
        <f t="shared" si="14"/>
        <v>508</v>
      </c>
      <c r="B509" s="24" t="s">
        <v>554</v>
      </c>
      <c r="C509" s="33">
        <v>41031</v>
      </c>
      <c r="D509" s="45">
        <f t="shared" ca="1" si="15"/>
        <v>13</v>
      </c>
      <c r="E509" s="12">
        <v>60</v>
      </c>
      <c r="F509" s="12" t="s">
        <v>19</v>
      </c>
      <c r="G509" s="12" t="s">
        <v>28</v>
      </c>
      <c r="H509" s="12" t="s">
        <v>21</v>
      </c>
      <c r="I509" s="44" t="s">
        <v>621</v>
      </c>
      <c r="J509" s="13" t="s">
        <v>493</v>
      </c>
      <c r="K509" s="41" t="s">
        <v>494</v>
      </c>
      <c r="L509" s="6"/>
      <c r="M509" s="6"/>
      <c r="N509" s="2"/>
      <c r="O509" s="2"/>
      <c r="P509" s="2"/>
      <c r="Q509" s="2"/>
      <c r="R509" s="2"/>
      <c r="S509" s="2"/>
      <c r="T509" s="2"/>
      <c r="U509" s="2"/>
      <c r="V509" s="2"/>
      <c r="W509" s="2"/>
      <c r="X509" s="2"/>
      <c r="Y509" s="2"/>
      <c r="Z509" s="2"/>
      <c r="AA509" s="2"/>
      <c r="AB509" s="2"/>
      <c r="AC509" s="2"/>
      <c r="AD509" s="2"/>
      <c r="AE509" s="2"/>
      <c r="AF509" s="2"/>
      <c r="AG509" s="2"/>
    </row>
    <row r="510" spans="1:33" ht="22.5" customHeight="1" x14ac:dyDescent="0.25">
      <c r="A510" s="8">
        <f t="shared" si="14"/>
        <v>509</v>
      </c>
      <c r="B510" s="24" t="s">
        <v>502</v>
      </c>
      <c r="C510" s="27">
        <v>40560</v>
      </c>
      <c r="D510" s="45">
        <f t="shared" ca="1" si="15"/>
        <v>15</v>
      </c>
      <c r="E510" s="4">
        <v>45</v>
      </c>
      <c r="F510" s="4" t="s">
        <v>25</v>
      </c>
      <c r="G510" s="4" t="s">
        <v>34</v>
      </c>
      <c r="H510" s="4" t="s">
        <v>21</v>
      </c>
      <c r="I510" s="44" t="s">
        <v>620</v>
      </c>
      <c r="J510" s="5" t="s">
        <v>493</v>
      </c>
      <c r="K510" s="36" t="s">
        <v>494</v>
      </c>
      <c r="L510" s="6"/>
      <c r="M510" s="6"/>
      <c r="N510" s="2"/>
      <c r="O510" s="2"/>
      <c r="P510" s="2"/>
      <c r="Q510" s="2"/>
      <c r="R510" s="2"/>
      <c r="S510" s="2"/>
      <c r="T510" s="2"/>
      <c r="U510" s="2"/>
      <c r="V510" s="2"/>
      <c r="W510" s="2"/>
      <c r="X510" s="2"/>
      <c r="Y510" s="2"/>
      <c r="Z510" s="2"/>
      <c r="AA510" s="2"/>
      <c r="AB510" s="2"/>
      <c r="AC510" s="2"/>
      <c r="AD510" s="2"/>
      <c r="AE510" s="2"/>
      <c r="AF510" s="2"/>
      <c r="AG510" s="2"/>
    </row>
    <row r="511" spans="1:33" ht="22.5" customHeight="1" x14ac:dyDescent="0.25">
      <c r="A511" s="8">
        <f t="shared" si="14"/>
        <v>510</v>
      </c>
      <c r="B511" s="24" t="s">
        <v>503</v>
      </c>
      <c r="C511" s="27">
        <v>40272</v>
      </c>
      <c r="D511" s="45">
        <f t="shared" ca="1" si="15"/>
        <v>15</v>
      </c>
      <c r="E511" s="4">
        <v>51</v>
      </c>
      <c r="F511" s="4" t="s">
        <v>25</v>
      </c>
      <c r="G511" s="4" t="s">
        <v>34</v>
      </c>
      <c r="H511" s="4" t="s">
        <v>21</v>
      </c>
      <c r="I511" s="44" t="s">
        <v>622</v>
      </c>
      <c r="J511" s="5" t="s">
        <v>493</v>
      </c>
      <c r="K511" s="36" t="s">
        <v>494</v>
      </c>
      <c r="L511" s="6"/>
      <c r="M511" s="6"/>
      <c r="N511" s="2"/>
      <c r="O511" s="2"/>
      <c r="P511" s="2"/>
      <c r="Q511" s="2"/>
      <c r="R511" s="2"/>
      <c r="S511" s="2"/>
      <c r="T511" s="2"/>
      <c r="U511" s="2"/>
      <c r="V511" s="2"/>
      <c r="W511" s="2"/>
      <c r="X511" s="2"/>
      <c r="Y511" s="2"/>
      <c r="Z511" s="2"/>
      <c r="AA511" s="2"/>
      <c r="AB511" s="2"/>
      <c r="AC511" s="2"/>
      <c r="AD511" s="2"/>
      <c r="AE511" s="2"/>
      <c r="AF511" s="2"/>
      <c r="AG511" s="2"/>
    </row>
    <row r="512" spans="1:33" ht="22.5" customHeight="1" x14ac:dyDescent="0.25">
      <c r="A512" s="8">
        <f t="shared" si="14"/>
        <v>511</v>
      </c>
      <c r="B512" s="24" t="s">
        <v>500</v>
      </c>
      <c r="C512" s="27">
        <v>40325</v>
      </c>
      <c r="D512" s="45">
        <f t="shared" ca="1" si="15"/>
        <v>15</v>
      </c>
      <c r="E512" s="4">
        <v>60</v>
      </c>
      <c r="F512" s="4" t="s">
        <v>25</v>
      </c>
      <c r="G512" s="4" t="s">
        <v>20</v>
      </c>
      <c r="H512" s="4" t="s">
        <v>21</v>
      </c>
      <c r="I512" s="44" t="s">
        <v>621</v>
      </c>
      <c r="J512" s="5" t="s">
        <v>493</v>
      </c>
      <c r="K512" s="36" t="s">
        <v>494</v>
      </c>
      <c r="L512" s="6"/>
      <c r="M512" s="6"/>
      <c r="N512" s="2"/>
      <c r="O512" s="2"/>
      <c r="P512" s="2"/>
      <c r="Q512" s="2"/>
      <c r="R512" s="2"/>
      <c r="S512" s="2"/>
      <c r="T512" s="2"/>
      <c r="U512" s="2"/>
      <c r="V512" s="2"/>
      <c r="W512" s="2"/>
      <c r="X512" s="2"/>
      <c r="Y512" s="2"/>
      <c r="Z512" s="2"/>
      <c r="AA512" s="2"/>
      <c r="AB512" s="2"/>
      <c r="AC512" s="2"/>
      <c r="AD512" s="2"/>
      <c r="AE512" s="2"/>
      <c r="AF512" s="2"/>
      <c r="AG512" s="2"/>
    </row>
    <row r="513" spans="1:36" ht="22.5" customHeight="1" x14ac:dyDescent="0.25">
      <c r="A513" s="8">
        <f t="shared" si="14"/>
        <v>512</v>
      </c>
      <c r="B513" s="24" t="s">
        <v>511</v>
      </c>
      <c r="C513" s="27">
        <v>38663</v>
      </c>
      <c r="D513" s="45">
        <f t="shared" ca="1" si="15"/>
        <v>20</v>
      </c>
      <c r="E513" s="4">
        <v>63</v>
      </c>
      <c r="F513" s="4" t="s">
        <v>25</v>
      </c>
      <c r="G513" s="4" t="s">
        <v>26</v>
      </c>
      <c r="H513" s="4" t="s">
        <v>21</v>
      </c>
      <c r="I513" s="44" t="s">
        <v>622</v>
      </c>
      <c r="J513" s="5" t="s">
        <v>493</v>
      </c>
      <c r="K513" s="36" t="s">
        <v>494</v>
      </c>
      <c r="L513" s="6"/>
      <c r="M513" s="6"/>
      <c r="N513" s="2"/>
      <c r="O513" s="2"/>
      <c r="P513" s="2"/>
      <c r="Q513" s="2"/>
      <c r="R513" s="2"/>
      <c r="S513" s="2"/>
      <c r="T513" s="2"/>
      <c r="U513" s="2"/>
      <c r="V513" s="2"/>
      <c r="W513" s="2"/>
      <c r="X513" s="2"/>
      <c r="Y513" s="2"/>
      <c r="Z513" s="2"/>
      <c r="AA513" s="2"/>
      <c r="AB513" s="2"/>
      <c r="AC513" s="2"/>
      <c r="AD513" s="2"/>
      <c r="AE513" s="2"/>
      <c r="AF513" s="2"/>
      <c r="AG513" s="2"/>
    </row>
    <row r="514" spans="1:36" ht="22.5" customHeight="1" x14ac:dyDescent="0.25">
      <c r="A514" s="8">
        <f t="shared" si="14"/>
        <v>513</v>
      </c>
      <c r="B514" s="24" t="s">
        <v>565</v>
      </c>
      <c r="C514" s="29">
        <v>42294</v>
      </c>
      <c r="D514" s="45">
        <f t="shared" ca="1" si="15"/>
        <v>10</v>
      </c>
      <c r="E514" s="16">
        <v>35</v>
      </c>
      <c r="F514" s="16" t="s">
        <v>25</v>
      </c>
      <c r="G514" s="16" t="s">
        <v>39</v>
      </c>
      <c r="H514" s="16" t="s">
        <v>21</v>
      </c>
      <c r="I514" s="44" t="s">
        <v>622</v>
      </c>
      <c r="J514" s="17" t="s">
        <v>580</v>
      </c>
      <c r="K514" s="39" t="s">
        <v>581</v>
      </c>
      <c r="L514" s="6"/>
      <c r="M514" s="6"/>
      <c r="N514" s="2"/>
      <c r="O514" s="2"/>
      <c r="P514" s="2"/>
      <c r="Q514" s="2"/>
      <c r="R514" s="2"/>
      <c r="S514" s="2"/>
      <c r="T514" s="2"/>
      <c r="U514" s="2"/>
      <c r="V514" s="2"/>
      <c r="W514" s="2"/>
      <c r="X514" s="2"/>
      <c r="Y514" s="2"/>
      <c r="Z514" s="2"/>
      <c r="AA514" s="2"/>
      <c r="AB514" s="2"/>
      <c r="AC514" s="2"/>
      <c r="AD514" s="2"/>
      <c r="AE514" s="2"/>
      <c r="AF514" s="2"/>
      <c r="AG514" s="2"/>
    </row>
    <row r="515" spans="1:36" ht="22.5" customHeight="1" x14ac:dyDescent="0.25">
      <c r="A515" s="8">
        <f t="shared" ref="A515:A521" si="16">A514+1</f>
        <v>514</v>
      </c>
      <c r="B515" s="24" t="s">
        <v>564</v>
      </c>
      <c r="C515" s="29">
        <v>41545</v>
      </c>
      <c r="D515" s="45">
        <f t="shared" ref="D515:D521" ca="1" si="17">DATEDIF(C515, TODAY(), "Y")</f>
        <v>12</v>
      </c>
      <c r="E515" s="16">
        <v>36</v>
      </c>
      <c r="F515" s="16" t="s">
        <v>25</v>
      </c>
      <c r="G515" s="16" t="s">
        <v>39</v>
      </c>
      <c r="H515" s="16" t="s">
        <v>21</v>
      </c>
      <c r="I515" s="44" t="s">
        <v>620</v>
      </c>
      <c r="J515" s="17" t="s">
        <v>580</v>
      </c>
      <c r="K515" s="39" t="s">
        <v>581</v>
      </c>
      <c r="L515" s="6"/>
      <c r="M515" s="6"/>
      <c r="N515" s="2"/>
      <c r="O515" s="2"/>
      <c r="P515" s="2"/>
      <c r="Q515" s="2"/>
      <c r="R515" s="2"/>
      <c r="S515" s="2"/>
      <c r="T515" s="2"/>
      <c r="U515" s="2"/>
      <c r="V515" s="2"/>
      <c r="W515" s="2"/>
      <c r="X515" s="2"/>
      <c r="Y515" s="2"/>
      <c r="Z515" s="2"/>
      <c r="AA515" s="2"/>
      <c r="AB515" s="2"/>
      <c r="AC515" s="2"/>
      <c r="AD515" s="2"/>
      <c r="AE515" s="2"/>
      <c r="AF515" s="2"/>
      <c r="AG515" s="2"/>
    </row>
    <row r="516" spans="1:36" ht="22.5" customHeight="1" x14ac:dyDescent="0.25">
      <c r="A516" s="8">
        <f t="shared" si="16"/>
        <v>515</v>
      </c>
      <c r="B516" s="24" t="s">
        <v>293</v>
      </c>
      <c r="C516" s="27">
        <v>44002</v>
      </c>
      <c r="D516" s="45">
        <f t="shared" ca="1" si="17"/>
        <v>5</v>
      </c>
      <c r="E516" s="4">
        <v>18</v>
      </c>
      <c r="F516" s="4" t="s">
        <v>25</v>
      </c>
      <c r="G516" s="4" t="s">
        <v>50</v>
      </c>
      <c r="H516" s="4" t="s">
        <v>21</v>
      </c>
      <c r="I516" s="44" t="s">
        <v>620</v>
      </c>
      <c r="J516" s="5" t="s">
        <v>288</v>
      </c>
      <c r="K516" s="36" t="s">
        <v>289</v>
      </c>
      <c r="L516" s="6"/>
      <c r="M516" s="6"/>
      <c r="N516" s="2"/>
      <c r="O516" s="2"/>
      <c r="P516" s="2"/>
      <c r="Q516" s="2"/>
      <c r="R516" s="2"/>
      <c r="S516" s="2"/>
      <c r="T516" s="2"/>
      <c r="U516" s="2"/>
      <c r="V516" s="2"/>
      <c r="W516" s="2"/>
      <c r="X516" s="2"/>
      <c r="Y516" s="2"/>
      <c r="Z516" s="2"/>
      <c r="AA516" s="2"/>
      <c r="AB516" s="2"/>
      <c r="AC516" s="2"/>
      <c r="AD516" s="2"/>
      <c r="AE516" s="2"/>
      <c r="AF516" s="2"/>
      <c r="AG516" s="2"/>
    </row>
    <row r="517" spans="1:36" ht="22.5" customHeight="1" x14ac:dyDescent="0.25">
      <c r="A517" s="8">
        <f t="shared" si="16"/>
        <v>516</v>
      </c>
      <c r="B517" s="24" t="s">
        <v>295</v>
      </c>
      <c r="C517" s="27">
        <v>44104</v>
      </c>
      <c r="D517" s="45">
        <f t="shared" ca="1" si="17"/>
        <v>5</v>
      </c>
      <c r="E517" s="4">
        <v>18</v>
      </c>
      <c r="F517" s="4" t="s">
        <v>25</v>
      </c>
      <c r="G517" s="4" t="s">
        <v>50</v>
      </c>
      <c r="H517" s="4" t="s">
        <v>21</v>
      </c>
      <c r="I517" s="44" t="s">
        <v>621</v>
      </c>
      <c r="J517" s="5" t="s">
        <v>288</v>
      </c>
      <c r="K517" s="36" t="s">
        <v>289</v>
      </c>
      <c r="L517" s="6"/>
      <c r="M517" s="6"/>
      <c r="N517" s="2"/>
      <c r="O517" s="2"/>
      <c r="P517" s="2"/>
      <c r="Q517" s="2"/>
      <c r="R517" s="2"/>
      <c r="S517" s="2"/>
      <c r="T517" s="2"/>
      <c r="U517" s="2"/>
      <c r="V517" s="2"/>
      <c r="W517" s="2"/>
      <c r="X517" s="2"/>
      <c r="Y517" s="2"/>
      <c r="Z517" s="2"/>
      <c r="AA517" s="2"/>
      <c r="AB517" s="2"/>
      <c r="AC517" s="2"/>
      <c r="AD517" s="2"/>
      <c r="AE517" s="2"/>
      <c r="AF517" s="2"/>
      <c r="AG517" s="2"/>
    </row>
    <row r="518" spans="1:36" ht="22.5" customHeight="1" x14ac:dyDescent="0.25">
      <c r="A518" s="8">
        <f t="shared" si="16"/>
        <v>517</v>
      </c>
      <c r="B518" s="24" t="s">
        <v>292</v>
      </c>
      <c r="C518" s="27">
        <v>42234</v>
      </c>
      <c r="D518" s="45">
        <f t="shared" ca="1" si="17"/>
        <v>10</v>
      </c>
      <c r="E518" s="4">
        <v>44</v>
      </c>
      <c r="F518" s="4" t="s">
        <v>25</v>
      </c>
      <c r="G518" s="4" t="s">
        <v>50</v>
      </c>
      <c r="H518" s="4" t="s">
        <v>21</v>
      </c>
      <c r="I518" s="44" t="s">
        <v>621</v>
      </c>
      <c r="J518" s="13" t="s">
        <v>288</v>
      </c>
      <c r="K518" s="36" t="s">
        <v>289</v>
      </c>
      <c r="L518" s="6"/>
      <c r="M518" s="6"/>
      <c r="N518" s="2"/>
      <c r="O518" s="2"/>
      <c r="P518" s="2"/>
      <c r="Q518" s="2"/>
      <c r="R518" s="2"/>
      <c r="S518" s="2"/>
      <c r="T518" s="2"/>
      <c r="U518" s="2"/>
      <c r="V518" s="2"/>
      <c r="W518" s="2"/>
      <c r="X518" s="2"/>
      <c r="Y518" s="2"/>
      <c r="Z518" s="2"/>
      <c r="AA518" s="2"/>
      <c r="AB518" s="2"/>
      <c r="AC518" s="2"/>
      <c r="AD518" s="2"/>
      <c r="AE518" s="2"/>
      <c r="AF518" s="2"/>
      <c r="AG518" s="2"/>
    </row>
    <row r="519" spans="1:36" ht="22.5" customHeight="1" x14ac:dyDescent="0.25">
      <c r="A519" s="8">
        <f t="shared" si="16"/>
        <v>518</v>
      </c>
      <c r="B519" s="24" t="s">
        <v>422</v>
      </c>
      <c r="C519" s="27">
        <v>40923</v>
      </c>
      <c r="D519" s="45">
        <f t="shared" ca="1" si="17"/>
        <v>14</v>
      </c>
      <c r="E519" s="4">
        <v>39</v>
      </c>
      <c r="F519" s="4" t="s">
        <v>19</v>
      </c>
      <c r="G519" s="4" t="s">
        <v>61</v>
      </c>
      <c r="H519" s="4" t="s">
        <v>21</v>
      </c>
      <c r="I519" s="44" t="s">
        <v>620</v>
      </c>
      <c r="J519" s="5" t="s">
        <v>288</v>
      </c>
      <c r="K519" s="36" t="s">
        <v>289</v>
      </c>
      <c r="L519" s="6"/>
      <c r="M519" s="6"/>
      <c r="N519" s="2"/>
      <c r="O519" s="2"/>
      <c r="P519" s="2"/>
      <c r="Q519" s="2"/>
      <c r="R519" s="2"/>
      <c r="S519" s="2"/>
      <c r="T519" s="2"/>
      <c r="U519" s="2"/>
      <c r="V519" s="2"/>
      <c r="W519" s="2"/>
      <c r="X519" s="2"/>
      <c r="Y519" s="2"/>
      <c r="Z519" s="2"/>
      <c r="AA519" s="2"/>
      <c r="AB519" s="2"/>
      <c r="AC519" s="2"/>
      <c r="AD519" s="2"/>
      <c r="AE519" s="2"/>
      <c r="AF519" s="2"/>
      <c r="AG519" s="2"/>
    </row>
    <row r="520" spans="1:36" ht="22.5" customHeight="1" x14ac:dyDescent="0.25">
      <c r="A520" s="8">
        <f t="shared" si="16"/>
        <v>519</v>
      </c>
      <c r="B520" s="24" t="s">
        <v>290</v>
      </c>
      <c r="C520" s="27">
        <v>40831</v>
      </c>
      <c r="D520" s="45">
        <f t="shared" ca="1" si="17"/>
        <v>14</v>
      </c>
      <c r="E520" s="4">
        <v>54</v>
      </c>
      <c r="F520" s="4" t="s">
        <v>25</v>
      </c>
      <c r="G520" s="4" t="s">
        <v>34</v>
      </c>
      <c r="H520" s="4" t="s">
        <v>21</v>
      </c>
      <c r="I520" s="44" t="s">
        <v>622</v>
      </c>
      <c r="J520" s="5" t="s">
        <v>288</v>
      </c>
      <c r="K520" s="36" t="s">
        <v>289</v>
      </c>
      <c r="L520" s="6"/>
      <c r="M520" s="6"/>
      <c r="N520" s="2"/>
      <c r="O520" s="2"/>
      <c r="P520" s="2"/>
      <c r="Q520" s="2"/>
      <c r="R520" s="2"/>
      <c r="S520" s="2"/>
      <c r="T520" s="2"/>
      <c r="U520" s="2"/>
      <c r="V520" s="2"/>
      <c r="W520" s="2"/>
      <c r="X520" s="2"/>
      <c r="Y520" s="2"/>
      <c r="Z520" s="2"/>
      <c r="AA520" s="2"/>
      <c r="AB520" s="2"/>
      <c r="AC520" s="2"/>
      <c r="AD520" s="2"/>
      <c r="AE520" s="2"/>
      <c r="AF520" s="2"/>
      <c r="AG520" s="2"/>
    </row>
    <row r="521" spans="1:36" ht="22.5" customHeight="1" thickBot="1" x14ac:dyDescent="0.3">
      <c r="A521" s="8">
        <f t="shared" si="16"/>
        <v>520</v>
      </c>
      <c r="B521" s="43" t="s">
        <v>287</v>
      </c>
      <c r="C521" s="27">
        <v>40875</v>
      </c>
      <c r="D521" s="45">
        <f t="shared" ca="1" si="17"/>
        <v>14</v>
      </c>
      <c r="E521" s="4">
        <v>70</v>
      </c>
      <c r="F521" s="4" t="s">
        <v>19</v>
      </c>
      <c r="G521" s="4" t="s">
        <v>39</v>
      </c>
      <c r="H521" s="4" t="s">
        <v>21</v>
      </c>
      <c r="I521" s="44" t="s">
        <v>621</v>
      </c>
      <c r="J521" s="5" t="s">
        <v>288</v>
      </c>
      <c r="K521" s="42" t="s">
        <v>289</v>
      </c>
      <c r="L521" s="6"/>
      <c r="M521" s="6"/>
      <c r="N521" s="2"/>
      <c r="O521" s="2"/>
      <c r="P521" s="2"/>
      <c r="Q521" s="2"/>
      <c r="R521" s="2"/>
      <c r="S521" s="2"/>
      <c r="T521" s="2"/>
      <c r="U521" s="2"/>
      <c r="V521" s="2"/>
      <c r="W521" s="2"/>
      <c r="X521" s="2"/>
      <c r="Y521" s="2"/>
      <c r="Z521" s="2"/>
      <c r="AA521" s="2"/>
      <c r="AB521" s="2"/>
      <c r="AC521" s="2"/>
      <c r="AD521" s="2"/>
      <c r="AE521" s="2"/>
      <c r="AF521" s="2"/>
      <c r="AG521" s="2"/>
    </row>
    <row r="522" spans="1:36" ht="12.5" x14ac:dyDescent="0.25">
      <c r="C522" s="1"/>
      <c r="D522" s="1"/>
      <c r="E522" s="10"/>
      <c r="F522" s="14"/>
      <c r="G522" s="1"/>
      <c r="H522" s="1"/>
      <c r="I522" s="1"/>
      <c r="L522" s="6"/>
      <c r="M522" s="6"/>
      <c r="N522" s="1"/>
      <c r="O522" s="6"/>
      <c r="P522" s="6"/>
      <c r="Q522" s="2"/>
      <c r="R522" s="2"/>
      <c r="S522" s="2"/>
      <c r="T522" s="2"/>
      <c r="U522" s="2"/>
      <c r="V522" s="2"/>
      <c r="W522" s="2"/>
      <c r="X522" s="2"/>
      <c r="Y522" s="2"/>
      <c r="Z522" s="2"/>
      <c r="AA522" s="2"/>
      <c r="AB522" s="2"/>
      <c r="AC522" s="2"/>
      <c r="AD522" s="2"/>
      <c r="AE522" s="2"/>
      <c r="AF522" s="2"/>
      <c r="AG522" s="2"/>
      <c r="AH522" s="2"/>
      <c r="AI522" s="2"/>
      <c r="AJ522" s="2"/>
    </row>
    <row r="523" spans="1:36" ht="12.5" x14ac:dyDescent="0.25">
      <c r="C523" s="1"/>
      <c r="D523" s="1"/>
      <c r="E523" s="10"/>
      <c r="F523" s="14"/>
      <c r="G523" s="1"/>
      <c r="H523" s="1"/>
      <c r="I523" s="1"/>
      <c r="L523" s="6"/>
      <c r="M523" s="6"/>
      <c r="N523" s="1"/>
      <c r="O523" s="6"/>
      <c r="P523" s="6"/>
      <c r="Q523" s="2"/>
      <c r="R523" s="2"/>
      <c r="S523" s="2"/>
      <c r="T523" s="2"/>
      <c r="U523" s="2"/>
      <c r="V523" s="2"/>
      <c r="W523" s="2"/>
      <c r="X523" s="2"/>
      <c r="Y523" s="2"/>
      <c r="Z523" s="2"/>
      <c r="AA523" s="2"/>
      <c r="AB523" s="2"/>
      <c r="AC523" s="2"/>
      <c r="AD523" s="2"/>
      <c r="AE523" s="2"/>
      <c r="AF523" s="2"/>
      <c r="AG523" s="2"/>
      <c r="AH523" s="2"/>
      <c r="AI523" s="2"/>
      <c r="AJ523" s="2"/>
    </row>
    <row r="524" spans="1:36" ht="12.5" x14ac:dyDescent="0.25">
      <c r="C524" s="1"/>
      <c r="D524" s="1"/>
      <c r="E524" s="10"/>
      <c r="F524" s="14"/>
      <c r="G524" s="1"/>
      <c r="H524" s="1"/>
      <c r="I524" s="1"/>
      <c r="L524" s="6"/>
      <c r="M524" s="6"/>
      <c r="N524" s="1"/>
      <c r="O524" s="6"/>
      <c r="P524" s="6"/>
      <c r="Q524" s="2"/>
      <c r="R524" s="2"/>
      <c r="S524" s="2"/>
      <c r="T524" s="2"/>
      <c r="U524" s="2"/>
      <c r="V524" s="2"/>
      <c r="W524" s="2"/>
      <c r="X524" s="2"/>
      <c r="Y524" s="2"/>
      <c r="Z524" s="2"/>
      <c r="AA524" s="2"/>
      <c r="AB524" s="2"/>
      <c r="AC524" s="2"/>
      <c r="AD524" s="2"/>
      <c r="AE524" s="2"/>
      <c r="AF524" s="2"/>
      <c r="AG524" s="2"/>
      <c r="AH524" s="2"/>
      <c r="AI524" s="2"/>
      <c r="AJ524" s="2"/>
    </row>
    <row r="525" spans="1:36" ht="12.5" x14ac:dyDescent="0.25">
      <c r="C525" s="1"/>
      <c r="D525" s="1"/>
      <c r="E525" s="10"/>
      <c r="F525" s="14"/>
      <c r="G525" s="1"/>
      <c r="H525" s="1"/>
      <c r="I525" s="1"/>
      <c r="L525" s="6"/>
      <c r="M525" s="6"/>
      <c r="N525" s="1"/>
      <c r="O525" s="6"/>
      <c r="P525" s="6"/>
      <c r="Q525" s="2"/>
      <c r="R525" s="2"/>
      <c r="S525" s="2"/>
      <c r="T525" s="2"/>
      <c r="U525" s="2"/>
      <c r="V525" s="2"/>
      <c r="W525" s="2"/>
      <c r="X525" s="2"/>
      <c r="Y525" s="2"/>
      <c r="Z525" s="2"/>
      <c r="AA525" s="2"/>
      <c r="AB525" s="2"/>
      <c r="AC525" s="2"/>
      <c r="AD525" s="2"/>
      <c r="AE525" s="2"/>
      <c r="AF525" s="2"/>
      <c r="AG525" s="2"/>
      <c r="AH525" s="2"/>
      <c r="AI525" s="2"/>
      <c r="AJ525" s="2"/>
    </row>
    <row r="526" spans="1:36" ht="12.5" x14ac:dyDescent="0.25">
      <c r="C526" s="1"/>
      <c r="D526" s="1"/>
      <c r="E526" s="10"/>
      <c r="F526" s="14"/>
      <c r="G526" s="1"/>
      <c r="H526" s="1"/>
      <c r="I526" s="1"/>
      <c r="L526" s="6"/>
      <c r="M526" s="6"/>
      <c r="N526" s="1"/>
      <c r="O526" s="6"/>
      <c r="P526" s="6"/>
      <c r="Q526" s="2"/>
      <c r="R526" s="2"/>
      <c r="S526" s="2"/>
      <c r="T526" s="2"/>
      <c r="U526" s="2"/>
      <c r="V526" s="2"/>
      <c r="W526" s="2"/>
      <c r="X526" s="2"/>
      <c r="Y526" s="2"/>
      <c r="Z526" s="2"/>
      <c r="AA526" s="2"/>
      <c r="AB526" s="2"/>
      <c r="AC526" s="2"/>
      <c r="AD526" s="2"/>
      <c r="AE526" s="2"/>
      <c r="AF526" s="2"/>
      <c r="AG526" s="2"/>
      <c r="AH526" s="2"/>
      <c r="AI526" s="2"/>
      <c r="AJ526" s="2"/>
    </row>
    <row r="527" spans="1:36" ht="12.5" x14ac:dyDescent="0.25">
      <c r="C527" s="1"/>
      <c r="D527" s="1"/>
      <c r="E527" s="10"/>
      <c r="F527" s="14"/>
      <c r="G527" s="1"/>
      <c r="H527" s="1"/>
      <c r="I527" s="1"/>
      <c r="L527" s="6"/>
      <c r="M527" s="6"/>
      <c r="N527" s="1"/>
      <c r="O527" s="6"/>
      <c r="P527" s="6"/>
      <c r="Q527" s="2"/>
      <c r="R527" s="2"/>
      <c r="S527" s="2"/>
      <c r="T527" s="2"/>
      <c r="U527" s="2"/>
      <c r="V527" s="2"/>
      <c r="W527" s="2"/>
      <c r="X527" s="2"/>
      <c r="Y527" s="2"/>
      <c r="Z527" s="2"/>
      <c r="AA527" s="2"/>
      <c r="AB527" s="2"/>
      <c r="AC527" s="2"/>
      <c r="AD527" s="2"/>
      <c r="AE527" s="2"/>
      <c r="AF527" s="2"/>
      <c r="AG527" s="2"/>
      <c r="AH527" s="2"/>
      <c r="AI527" s="2"/>
      <c r="AJ527" s="2"/>
    </row>
    <row r="528" spans="1:36" ht="12.5" x14ac:dyDescent="0.25">
      <c r="C528" s="1"/>
      <c r="D528" s="1"/>
      <c r="E528" s="10"/>
      <c r="F528" s="14"/>
      <c r="G528" s="1"/>
      <c r="H528" s="1"/>
      <c r="I528" s="1"/>
      <c r="L528" s="6"/>
      <c r="M528" s="6"/>
      <c r="N528" s="1"/>
      <c r="O528" s="6"/>
      <c r="P528" s="6"/>
      <c r="Q528" s="2"/>
      <c r="R528" s="2"/>
      <c r="S528" s="2"/>
      <c r="T528" s="2"/>
      <c r="U528" s="2"/>
      <c r="V528" s="2"/>
      <c r="W528" s="2"/>
      <c r="X528" s="2"/>
      <c r="Y528" s="2"/>
      <c r="Z528" s="2"/>
      <c r="AA528" s="2"/>
      <c r="AB528" s="2"/>
      <c r="AC528" s="2"/>
      <c r="AD528" s="2"/>
      <c r="AE528" s="2"/>
      <c r="AF528" s="2"/>
      <c r="AG528" s="2"/>
      <c r="AH528" s="2"/>
      <c r="AI528" s="2"/>
      <c r="AJ528" s="2"/>
    </row>
    <row r="529" spans="3:36" ht="12.5" x14ac:dyDescent="0.25">
      <c r="C529" s="1"/>
      <c r="D529" s="1"/>
      <c r="E529" s="10"/>
      <c r="F529" s="14"/>
      <c r="G529" s="1"/>
      <c r="H529" s="1"/>
      <c r="I529" s="1"/>
      <c r="L529" s="6"/>
      <c r="M529" s="6"/>
      <c r="N529" s="1"/>
      <c r="O529" s="6"/>
      <c r="P529" s="6"/>
      <c r="Q529" s="2"/>
      <c r="R529" s="2"/>
      <c r="S529" s="2"/>
      <c r="T529" s="2"/>
      <c r="U529" s="2"/>
      <c r="V529" s="2"/>
      <c r="W529" s="2"/>
      <c r="X529" s="2"/>
      <c r="Y529" s="2"/>
      <c r="Z529" s="2"/>
      <c r="AA529" s="2"/>
      <c r="AB529" s="2"/>
      <c r="AC529" s="2"/>
      <c r="AD529" s="2"/>
      <c r="AE529" s="2"/>
      <c r="AF529" s="2"/>
      <c r="AG529" s="2"/>
      <c r="AH529" s="2"/>
      <c r="AI529" s="2"/>
      <c r="AJ529" s="2"/>
    </row>
    <row r="530" spans="3:36" ht="12.5" x14ac:dyDescent="0.25">
      <c r="C530" s="1"/>
      <c r="D530" s="1"/>
      <c r="E530" s="10"/>
      <c r="F530" s="14"/>
      <c r="G530" s="1"/>
      <c r="H530" s="1"/>
      <c r="I530" s="1"/>
      <c r="L530" s="6"/>
      <c r="M530" s="6"/>
      <c r="N530" s="1"/>
      <c r="O530" s="6"/>
      <c r="P530" s="6"/>
      <c r="Q530" s="2"/>
      <c r="R530" s="2"/>
      <c r="S530" s="2"/>
      <c r="T530" s="2"/>
      <c r="U530" s="2"/>
      <c r="V530" s="2"/>
      <c r="W530" s="2"/>
      <c r="X530" s="2"/>
      <c r="Y530" s="2"/>
      <c r="Z530" s="2"/>
      <c r="AA530" s="2"/>
      <c r="AB530" s="2"/>
      <c r="AC530" s="2"/>
      <c r="AD530" s="2"/>
      <c r="AE530" s="2"/>
      <c r="AF530" s="2"/>
      <c r="AG530" s="2"/>
      <c r="AH530" s="2"/>
      <c r="AI530" s="2"/>
      <c r="AJ530" s="2"/>
    </row>
    <row r="531" spans="3:36" ht="12.5" x14ac:dyDescent="0.25">
      <c r="C531" s="1"/>
      <c r="D531" s="1"/>
      <c r="E531" s="10"/>
      <c r="F531" s="14"/>
      <c r="G531" s="1"/>
      <c r="H531" s="1"/>
      <c r="I531" s="1"/>
      <c r="L531" s="6"/>
      <c r="M531" s="6"/>
      <c r="N531" s="1"/>
      <c r="O531" s="6"/>
      <c r="P531" s="6"/>
      <c r="Q531" s="2"/>
      <c r="R531" s="2"/>
      <c r="S531" s="2"/>
      <c r="T531" s="2"/>
      <c r="U531" s="2"/>
      <c r="V531" s="2"/>
      <c r="W531" s="2"/>
      <c r="X531" s="2"/>
      <c r="Y531" s="2"/>
      <c r="Z531" s="2"/>
      <c r="AA531" s="2"/>
      <c r="AB531" s="2"/>
      <c r="AC531" s="2"/>
      <c r="AD531" s="2"/>
      <c r="AE531" s="2"/>
      <c r="AF531" s="2"/>
      <c r="AG531" s="2"/>
      <c r="AH531" s="2"/>
      <c r="AI531" s="2"/>
      <c r="AJ531" s="2"/>
    </row>
    <row r="532" spans="3:36" ht="12.5" x14ac:dyDescent="0.25">
      <c r="C532" s="1"/>
      <c r="D532" s="1"/>
      <c r="E532" s="10"/>
      <c r="F532" s="14"/>
      <c r="G532" s="1"/>
      <c r="H532" s="1"/>
      <c r="I532" s="1"/>
      <c r="L532" s="6"/>
      <c r="M532" s="6"/>
      <c r="N532" s="1"/>
      <c r="O532" s="6"/>
      <c r="P532" s="6"/>
      <c r="Q532" s="2"/>
      <c r="R532" s="2"/>
      <c r="S532" s="2"/>
      <c r="T532" s="2"/>
      <c r="U532" s="2"/>
      <c r="V532" s="2"/>
      <c r="W532" s="2"/>
      <c r="X532" s="2"/>
      <c r="Y532" s="2"/>
      <c r="Z532" s="2"/>
      <c r="AA532" s="2"/>
      <c r="AB532" s="2"/>
      <c r="AC532" s="2"/>
      <c r="AD532" s="2"/>
      <c r="AE532" s="2"/>
      <c r="AF532" s="2"/>
      <c r="AG532" s="2"/>
      <c r="AH532" s="2"/>
      <c r="AI532" s="2"/>
      <c r="AJ532" s="2"/>
    </row>
    <row r="533" spans="3:36" ht="12.5" x14ac:dyDescent="0.25">
      <c r="C533" s="1"/>
      <c r="D533" s="1"/>
      <c r="E533" s="10"/>
      <c r="F533" s="14"/>
      <c r="G533" s="1"/>
      <c r="H533" s="1"/>
      <c r="I533" s="1"/>
      <c r="L533" s="6"/>
      <c r="M533" s="6"/>
      <c r="N533" s="1"/>
      <c r="O533" s="6"/>
      <c r="P533" s="6"/>
      <c r="Q533" s="2"/>
      <c r="R533" s="2"/>
      <c r="S533" s="2"/>
      <c r="T533" s="2"/>
      <c r="U533" s="2"/>
      <c r="V533" s="2"/>
      <c r="W533" s="2"/>
      <c r="X533" s="2"/>
      <c r="Y533" s="2"/>
      <c r="Z533" s="2"/>
      <c r="AA533" s="2"/>
      <c r="AB533" s="2"/>
      <c r="AC533" s="2"/>
      <c r="AD533" s="2"/>
      <c r="AE533" s="2"/>
      <c r="AF533" s="2"/>
      <c r="AG533" s="2"/>
      <c r="AH533" s="2"/>
      <c r="AI533" s="2"/>
      <c r="AJ533" s="2"/>
    </row>
    <row r="534" spans="3:36" ht="12.5" x14ac:dyDescent="0.25">
      <c r="C534" s="1"/>
      <c r="D534" s="1"/>
      <c r="E534" s="10"/>
      <c r="F534" s="14"/>
      <c r="G534" s="1"/>
      <c r="H534" s="1"/>
      <c r="I534" s="1"/>
      <c r="L534" s="6"/>
      <c r="M534" s="6"/>
      <c r="N534" s="1"/>
      <c r="O534" s="6"/>
      <c r="P534" s="6"/>
      <c r="Q534" s="2"/>
      <c r="R534" s="2"/>
      <c r="S534" s="2"/>
      <c r="T534" s="2"/>
      <c r="U534" s="2"/>
      <c r="V534" s="2"/>
      <c r="W534" s="2"/>
      <c r="X534" s="2"/>
      <c r="Y534" s="2"/>
      <c r="Z534" s="2"/>
      <c r="AA534" s="2"/>
      <c r="AB534" s="2"/>
      <c r="AC534" s="2"/>
      <c r="AD534" s="2"/>
      <c r="AE534" s="2"/>
      <c r="AF534" s="2"/>
      <c r="AG534" s="2"/>
      <c r="AH534" s="2"/>
      <c r="AI534" s="2"/>
      <c r="AJ534" s="2"/>
    </row>
    <row r="535" spans="3:36" ht="12.5" x14ac:dyDescent="0.25">
      <c r="C535" s="1"/>
      <c r="D535" s="1"/>
      <c r="E535" s="10"/>
      <c r="F535" s="14"/>
      <c r="G535" s="1"/>
      <c r="H535" s="1"/>
      <c r="I535" s="1"/>
      <c r="L535" s="6"/>
      <c r="M535" s="6"/>
      <c r="N535" s="1"/>
      <c r="O535" s="6"/>
      <c r="P535" s="6"/>
      <c r="Q535" s="2"/>
      <c r="R535" s="2"/>
      <c r="S535" s="2"/>
      <c r="T535" s="2"/>
      <c r="U535" s="2"/>
      <c r="V535" s="2"/>
      <c r="W535" s="2"/>
      <c r="X535" s="2"/>
      <c r="Y535" s="2"/>
      <c r="Z535" s="2"/>
      <c r="AA535" s="2"/>
      <c r="AB535" s="2"/>
      <c r="AC535" s="2"/>
      <c r="AD535" s="2"/>
      <c r="AE535" s="2"/>
      <c r="AF535" s="2"/>
      <c r="AG535" s="2"/>
      <c r="AH535" s="2"/>
      <c r="AI535" s="2"/>
      <c r="AJ535" s="2"/>
    </row>
  </sheetData>
  <autoFilter ref="A1:A480" xr:uid="{00000000-0001-0000-0000-000000000000}"/>
  <pageMargins left="0.25" right="0.25" top="0.75" bottom="0.75" header="0.3" footer="0.3"/>
  <pageSetup paperSize="9" orientation="portrait"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4D432-32F1-4B01-B98C-0B39F5A4CF69}">
  <dimension ref="B1:K17"/>
  <sheetViews>
    <sheetView zoomScale="111" workbookViewId="0">
      <selection activeCell="F20" sqref="F20"/>
    </sheetView>
  </sheetViews>
  <sheetFormatPr defaultRowHeight="12.5" x14ac:dyDescent="0.25"/>
  <sheetData>
    <row r="1" spans="2:11" ht="13" thickBot="1" x14ac:dyDescent="0.3"/>
    <row r="2" spans="2:11" ht="14.5" thickBot="1" x14ac:dyDescent="0.35">
      <c r="H2" s="63" t="s">
        <v>638</v>
      </c>
      <c r="I2" s="82"/>
      <c r="J2" s="82"/>
      <c r="K2" s="83"/>
    </row>
    <row r="3" spans="2:11" ht="14" x14ac:dyDescent="0.3">
      <c r="B3" s="63" t="s">
        <v>636</v>
      </c>
      <c r="C3" s="82"/>
      <c r="D3" s="82"/>
      <c r="E3" s="82"/>
      <c r="F3" s="83"/>
      <c r="H3" s="57"/>
      <c r="I3" s="81"/>
      <c r="J3" s="81"/>
      <c r="K3" s="58"/>
    </row>
    <row r="4" spans="2:11" ht="14" x14ac:dyDescent="0.3">
      <c r="B4" s="84"/>
      <c r="C4" s="85"/>
      <c r="D4" s="85"/>
      <c r="E4" s="85"/>
      <c r="F4" s="88"/>
      <c r="H4" s="59" t="s">
        <v>639</v>
      </c>
      <c r="I4" s="86"/>
      <c r="J4" s="86"/>
      <c r="K4" s="87"/>
    </row>
    <row r="5" spans="2:11" ht="14" x14ac:dyDescent="0.3">
      <c r="B5" s="84" t="s">
        <v>644</v>
      </c>
      <c r="C5" s="85"/>
      <c r="D5" s="85"/>
      <c r="E5" s="85"/>
      <c r="F5" s="88"/>
      <c r="H5" s="57">
        <f ca="1">COUNTIFS(Form_Responses3[AGE],"&gt;=0",Form_Responses3[AGE],"&lt;=10")</f>
        <v>209</v>
      </c>
      <c r="I5" s="81"/>
      <c r="J5" s="81"/>
      <c r="K5" s="58"/>
    </row>
    <row r="6" spans="2:11" ht="14" x14ac:dyDescent="0.3">
      <c r="B6" s="84">
        <f>COUNTIF(Form_Responses3[GENDER],"male")</f>
        <v>266</v>
      </c>
      <c r="C6" s="85"/>
      <c r="D6" s="85"/>
      <c r="E6" s="85"/>
      <c r="F6" s="88"/>
      <c r="H6" s="57"/>
      <c r="I6" s="81"/>
      <c r="J6" s="81"/>
      <c r="K6" s="58"/>
    </row>
    <row r="7" spans="2:11" ht="14" x14ac:dyDescent="0.3">
      <c r="B7" s="84"/>
      <c r="C7" s="85"/>
      <c r="D7" s="85"/>
      <c r="E7" s="85"/>
      <c r="F7" s="88"/>
      <c r="H7" s="59" t="s">
        <v>640</v>
      </c>
      <c r="I7" s="86"/>
      <c r="J7" s="86"/>
      <c r="K7" s="87"/>
    </row>
    <row r="8" spans="2:11" ht="14" x14ac:dyDescent="0.3">
      <c r="B8" s="84" t="s">
        <v>645</v>
      </c>
      <c r="C8" s="85"/>
      <c r="D8" s="85"/>
      <c r="E8" s="85"/>
      <c r="F8" s="88"/>
      <c r="H8" s="57">
        <f ca="1">COUNTIFS(Form_Responses3[AGE],"&gt;=11",Form_Responses3[AGE],"&lt;=20")</f>
        <v>291</v>
      </c>
      <c r="I8" s="81"/>
      <c r="J8" s="81"/>
      <c r="K8" s="58"/>
    </row>
    <row r="9" spans="2:11" ht="14" x14ac:dyDescent="0.3">
      <c r="B9" s="84">
        <f>COUNTIF(Form_Responses3[GENDER],"female")</f>
        <v>249</v>
      </c>
      <c r="C9" s="85"/>
      <c r="D9" s="85"/>
      <c r="E9" s="85"/>
      <c r="F9" s="88"/>
      <c r="H9" s="57"/>
      <c r="I9" s="81"/>
      <c r="J9" s="81"/>
      <c r="K9" s="58"/>
    </row>
    <row r="10" spans="2:11" ht="14.5" thickBot="1" x14ac:dyDescent="0.35">
      <c r="B10" s="89"/>
      <c r="C10" s="90"/>
      <c r="D10" s="90"/>
      <c r="E10" s="90"/>
      <c r="F10" s="91"/>
      <c r="H10" s="59" t="s">
        <v>641</v>
      </c>
      <c r="I10" s="86"/>
      <c r="J10" s="86"/>
      <c r="K10" s="87"/>
    </row>
    <row r="11" spans="2:11" x14ac:dyDescent="0.25">
      <c r="H11" s="57">
        <f ca="1">COUNTIFS(Form_Responses3[AGE],"&gt;=21",Form_Responses3[AGE],"&lt;=30")</f>
        <v>18</v>
      </c>
      <c r="I11" s="81"/>
      <c r="J11" s="81"/>
      <c r="K11" s="58"/>
    </row>
    <row r="12" spans="2:11" x14ac:dyDescent="0.25">
      <c r="H12" s="57"/>
      <c r="I12" s="81"/>
      <c r="J12" s="81"/>
      <c r="K12" s="58"/>
    </row>
    <row r="13" spans="2:11" ht="13" x14ac:dyDescent="0.3">
      <c r="H13" s="59" t="s">
        <v>642</v>
      </c>
      <c r="I13" s="86"/>
      <c r="J13" s="86"/>
      <c r="K13" s="87"/>
    </row>
    <row r="14" spans="2:11" x14ac:dyDescent="0.25">
      <c r="H14" s="57">
        <f ca="1">COUNTIFS(Form_Responses3[AGE],"&gt;=31",Form_Responses3[AGE],"&lt;=40")</f>
        <v>2</v>
      </c>
      <c r="I14" s="81"/>
      <c r="J14" s="81"/>
      <c r="K14" s="58"/>
    </row>
    <row r="15" spans="2:11" x14ac:dyDescent="0.25">
      <c r="H15" s="57"/>
      <c r="I15" s="81"/>
      <c r="J15" s="81"/>
      <c r="K15" s="58"/>
    </row>
    <row r="16" spans="2:11" ht="13" x14ac:dyDescent="0.3">
      <c r="H16" s="59" t="s">
        <v>643</v>
      </c>
      <c r="I16" s="86"/>
      <c r="J16" s="86"/>
      <c r="K16" s="87"/>
    </row>
    <row r="17" spans="8:11" ht="13" thickBot="1" x14ac:dyDescent="0.3">
      <c r="H17" s="60">
        <f ca="1">COUNTIFS(Form_Responses3[AGE],"&gt;=41",Form_Responses3[AGE],"&lt;=50")</f>
        <v>0</v>
      </c>
      <c r="I17" s="61"/>
      <c r="J17" s="61"/>
      <c r="K17" s="62"/>
    </row>
  </sheetData>
  <mergeCells count="24">
    <mergeCell ref="B3:F3"/>
    <mergeCell ref="B4:F4"/>
    <mergeCell ref="B5:F5"/>
    <mergeCell ref="B6:F6"/>
    <mergeCell ref="B7:F7"/>
    <mergeCell ref="B8:F8"/>
    <mergeCell ref="B9:F9"/>
    <mergeCell ref="B10:F10"/>
    <mergeCell ref="H17:K17"/>
    <mergeCell ref="H16:K16"/>
    <mergeCell ref="H15:K15"/>
    <mergeCell ref="H7:K7"/>
    <mergeCell ref="H2:K2"/>
    <mergeCell ref="H3:K3"/>
    <mergeCell ref="H4:K4"/>
    <mergeCell ref="H5:K5"/>
    <mergeCell ref="H6:K6"/>
    <mergeCell ref="H14:K14"/>
    <mergeCell ref="H8:K8"/>
    <mergeCell ref="H9:K9"/>
    <mergeCell ref="H10:K10"/>
    <mergeCell ref="H11:K11"/>
    <mergeCell ref="H12:K12"/>
    <mergeCell ref="H13:K13"/>
  </mergeCells>
  <conditionalFormatting sqref="H2:K17">
    <cfRule type="colorScale" priority="2">
      <colorScale>
        <cfvo type="min"/>
        <cfvo type="percentile" val="50"/>
        <cfvo type="max"/>
        <color rgb="FFF8696B"/>
        <color rgb="FFFFEB84"/>
        <color rgb="FF63BE7B"/>
      </colorScale>
    </cfRule>
  </conditionalFormatting>
  <conditionalFormatting sqref="B3:F10">
    <cfRule type="dataBar" priority="1">
      <dataBar>
        <cfvo type="min"/>
        <cfvo type="max"/>
        <color rgb="FFD6007B"/>
      </dataBar>
      <extLst>
        <ext xmlns:x14="http://schemas.microsoft.com/office/spreadsheetml/2009/9/main" uri="{B025F937-C7B1-47D3-B67F-A62EFF666E3E}">
          <x14:id>{741B0D82-ACC3-4415-8C6C-B04763D63934}</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741B0D82-ACC3-4415-8C6C-B04763D63934}">
            <x14:dataBar minLength="0" maxLength="100" border="1" negativeBarBorderColorSameAsPositive="0">
              <x14:cfvo type="autoMin"/>
              <x14:cfvo type="autoMax"/>
              <x14:borderColor rgb="FFD6007B"/>
              <x14:negativeFillColor rgb="FFFF0000"/>
              <x14:negativeBorderColor rgb="FFFF0000"/>
              <x14:axisColor rgb="FF000000"/>
            </x14:dataBar>
          </x14:cfRule>
          <xm:sqref>B3:F10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2D08E-859E-45FF-BDFE-C89EB05778CB}">
  <dimension ref="A1:W16"/>
  <sheetViews>
    <sheetView zoomScale="118" workbookViewId="0">
      <selection activeCell="A14" sqref="A14:D14"/>
    </sheetView>
  </sheetViews>
  <sheetFormatPr defaultRowHeight="12.5" x14ac:dyDescent="0.25"/>
  <sheetData>
    <row r="1" spans="1:23" ht="14.5" x14ac:dyDescent="0.35">
      <c r="A1" s="65" t="s">
        <v>624</v>
      </c>
      <c r="B1" s="65"/>
      <c r="C1" s="65"/>
      <c r="D1" s="65"/>
      <c r="H1" s="65" t="s">
        <v>625</v>
      </c>
      <c r="I1" s="65"/>
      <c r="J1" s="65"/>
      <c r="K1" s="65"/>
    </row>
    <row r="2" spans="1:23" x14ac:dyDescent="0.25">
      <c r="A2" s="64">
        <f>SUM('Main Dataset'!D:D)</f>
        <v>20266.8</v>
      </c>
      <c r="B2" s="64"/>
      <c r="C2" s="64"/>
      <c r="D2" s="64"/>
      <c r="H2" s="64">
        <f>COUNTIF('Main Dataset'!E:E,"Male")</f>
        <v>266</v>
      </c>
      <c r="I2" s="64"/>
      <c r="J2" s="64"/>
      <c r="K2" s="64"/>
    </row>
    <row r="4" spans="1:23" ht="14.5" x14ac:dyDescent="0.35">
      <c r="A4" s="65" t="s">
        <v>630</v>
      </c>
      <c r="B4" s="65"/>
      <c r="C4" s="65"/>
      <c r="D4" s="65"/>
      <c r="H4" s="72" t="s">
        <v>626</v>
      </c>
      <c r="I4" s="72"/>
      <c r="J4" s="72"/>
      <c r="K4" s="72"/>
    </row>
    <row r="5" spans="1:23" ht="14.5" x14ac:dyDescent="0.35">
      <c r="A5" s="64">
        <f>SUMIF('Main Dataset'!E:E,"Male",'Main Dataset'!D:D)</f>
        <v>10554.199999999999</v>
      </c>
      <c r="B5" s="64"/>
      <c r="C5" s="64"/>
      <c r="D5" s="64"/>
      <c r="H5" s="64">
        <f>COUNTIF('Main Dataset'!E:E,"Female")</f>
        <v>249</v>
      </c>
      <c r="I5" s="64"/>
      <c r="J5" s="64"/>
      <c r="K5" s="64"/>
      <c r="P5" s="46"/>
    </row>
    <row r="7" spans="1:23" ht="14.5" x14ac:dyDescent="0.35">
      <c r="A7" s="66" t="s">
        <v>633</v>
      </c>
      <c r="B7" s="67"/>
      <c r="C7" s="67"/>
      <c r="D7" s="68"/>
      <c r="H7" s="65" t="s">
        <v>627</v>
      </c>
      <c r="I7" s="65"/>
      <c r="J7" s="65"/>
      <c r="K7" s="65"/>
      <c r="P7" s="46"/>
      <c r="T7" s="46"/>
      <c r="U7" s="46"/>
      <c r="V7" s="46"/>
      <c r="W7" s="46"/>
    </row>
    <row r="8" spans="1:23" ht="14.5" x14ac:dyDescent="0.35">
      <c r="A8" s="69">
        <f>SUMIF('Main Dataset'!H:H,"Gold",'Main Dataset'!D:D)</f>
        <v>6706.7</v>
      </c>
      <c r="B8" s="70"/>
      <c r="C8" s="70"/>
      <c r="D8" s="71"/>
      <c r="H8" s="64">
        <f>COUNTIF('Main Dataset'!H:H,"Bronze")</f>
        <v>172</v>
      </c>
      <c r="I8" s="64"/>
      <c r="J8" s="64"/>
      <c r="K8" s="64"/>
      <c r="P8" s="46"/>
    </row>
    <row r="9" spans="1:23" ht="14.5" x14ac:dyDescent="0.35">
      <c r="M9" s="46"/>
      <c r="N9" s="46"/>
      <c r="O9" s="46"/>
      <c r="P9" s="46"/>
    </row>
    <row r="10" spans="1:23" ht="14.5" x14ac:dyDescent="0.35">
      <c r="A10" s="65" t="s">
        <v>632</v>
      </c>
      <c r="B10" s="65"/>
      <c r="C10" s="65"/>
      <c r="D10" s="65"/>
      <c r="H10" s="65" t="s">
        <v>628</v>
      </c>
      <c r="I10" s="65"/>
      <c r="J10" s="65"/>
      <c r="K10" s="65"/>
      <c r="O10" s="46"/>
      <c r="P10" s="46"/>
    </row>
    <row r="11" spans="1:23" ht="14.5" x14ac:dyDescent="0.35">
      <c r="A11" s="64">
        <f>SUMIFS('Main Dataset'!D:D,'Main Dataset'!E:E,"Female",'Main Dataset'!F:F,"Black")</f>
        <v>677</v>
      </c>
      <c r="B11" s="64"/>
      <c r="C11" s="64"/>
      <c r="D11" s="64"/>
      <c r="H11" s="64">
        <f>COUNTIF('Main Dataset'!H:H,"Silver")</f>
        <v>174</v>
      </c>
      <c r="I11" s="64"/>
      <c r="J11" s="64"/>
      <c r="K11" s="64"/>
      <c r="O11" s="46"/>
      <c r="P11" s="46"/>
    </row>
    <row r="12" spans="1:23" ht="14.5" x14ac:dyDescent="0.35">
      <c r="P12" s="46"/>
    </row>
    <row r="13" spans="1:23" ht="14.5" x14ac:dyDescent="0.35">
      <c r="A13" s="65" t="s">
        <v>631</v>
      </c>
      <c r="B13" s="65"/>
      <c r="C13" s="65"/>
      <c r="D13" s="65"/>
      <c r="H13" s="65" t="s">
        <v>629</v>
      </c>
      <c r="I13" s="65"/>
      <c r="J13" s="65"/>
      <c r="K13" s="65"/>
    </row>
    <row r="14" spans="1:23" x14ac:dyDescent="0.25">
      <c r="A14" s="64">
        <f>COUNTA('Main Dataset'!B:B)</f>
        <v>521</v>
      </c>
      <c r="B14" s="64"/>
      <c r="C14" s="64"/>
      <c r="D14" s="64"/>
      <c r="H14" s="64">
        <f>COUNTIF('Main Dataset'!H:H,"Gold")</f>
        <v>174</v>
      </c>
      <c r="I14" s="64"/>
      <c r="J14" s="64"/>
      <c r="K14" s="64"/>
    </row>
    <row r="16" spans="1:23" x14ac:dyDescent="0.25">
      <c r="H16" s="47"/>
    </row>
  </sheetData>
  <mergeCells count="20">
    <mergeCell ref="H5:K5"/>
    <mergeCell ref="A4:D4"/>
    <mergeCell ref="A5:D5"/>
    <mergeCell ref="A1:D1"/>
    <mergeCell ref="A2:D2"/>
    <mergeCell ref="H1:K1"/>
    <mergeCell ref="H2:K2"/>
    <mergeCell ref="H4:K4"/>
    <mergeCell ref="A14:D14"/>
    <mergeCell ref="H7:K7"/>
    <mergeCell ref="H8:K8"/>
    <mergeCell ref="H10:K10"/>
    <mergeCell ref="H11:K11"/>
    <mergeCell ref="H13:K13"/>
    <mergeCell ref="H14:K14"/>
    <mergeCell ref="A7:D7"/>
    <mergeCell ref="A8:D8"/>
    <mergeCell ref="A10:D10"/>
    <mergeCell ref="A11:D11"/>
    <mergeCell ref="A13:D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DBE27-5E9F-45D9-B7B1-740691CD24D5}">
  <dimension ref="A3:S50"/>
  <sheetViews>
    <sheetView topLeftCell="B1" zoomScale="23" zoomScaleNormal="10" workbookViewId="0">
      <selection activeCell="U26" sqref="U26"/>
    </sheetView>
  </sheetViews>
  <sheetFormatPr defaultRowHeight="12.5" x14ac:dyDescent="0.25"/>
  <cols>
    <col min="1" max="1" width="16.54296875" bestFit="1" customWidth="1"/>
    <col min="2" max="2" width="10.81640625" bestFit="1" customWidth="1"/>
    <col min="18" max="18" width="17.453125" bestFit="1" customWidth="1"/>
    <col min="19" max="19" width="11.36328125" bestFit="1" customWidth="1"/>
  </cols>
  <sheetData>
    <row r="3" spans="1:19" x14ac:dyDescent="0.25">
      <c r="A3" s="73" t="s">
        <v>634</v>
      </c>
      <c r="B3" s="74" t="s">
        <v>637</v>
      </c>
      <c r="C3" s="47"/>
    </row>
    <row r="4" spans="1:19" x14ac:dyDescent="0.25">
      <c r="A4" s="75" t="s">
        <v>19</v>
      </c>
      <c r="B4" s="76">
        <v>91</v>
      </c>
      <c r="C4" s="47"/>
      <c r="R4" s="48" t="s">
        <v>634</v>
      </c>
      <c r="S4" s="49" t="s">
        <v>637</v>
      </c>
    </row>
    <row r="5" spans="1:19" x14ac:dyDescent="0.25">
      <c r="A5" s="80" t="s">
        <v>25</v>
      </c>
      <c r="B5" s="77">
        <v>77</v>
      </c>
      <c r="C5" s="47"/>
      <c r="R5" s="50" t="s">
        <v>19</v>
      </c>
      <c r="S5" s="53">
        <v>2985</v>
      </c>
    </row>
    <row r="6" spans="1:19" x14ac:dyDescent="0.25">
      <c r="A6" s="78" t="s">
        <v>635</v>
      </c>
      <c r="B6" s="79">
        <v>168</v>
      </c>
      <c r="C6" s="47"/>
      <c r="R6" s="55" t="s">
        <v>26</v>
      </c>
      <c r="S6" s="54">
        <v>220</v>
      </c>
    </row>
    <row r="7" spans="1:19" x14ac:dyDescent="0.25">
      <c r="R7" s="56" t="s">
        <v>622</v>
      </c>
      <c r="S7" s="54">
        <v>73</v>
      </c>
    </row>
    <row r="8" spans="1:19" x14ac:dyDescent="0.25">
      <c r="R8" s="56" t="s">
        <v>620</v>
      </c>
      <c r="S8" s="54">
        <v>79</v>
      </c>
    </row>
    <row r="9" spans="1:19" x14ac:dyDescent="0.25">
      <c r="R9" s="56" t="s">
        <v>621</v>
      </c>
      <c r="S9" s="54">
        <v>68</v>
      </c>
    </row>
    <row r="10" spans="1:19" x14ac:dyDescent="0.25">
      <c r="R10" s="55" t="s">
        <v>61</v>
      </c>
      <c r="S10" s="54">
        <v>318</v>
      </c>
    </row>
    <row r="11" spans="1:19" x14ac:dyDescent="0.25">
      <c r="R11" s="56" t="s">
        <v>622</v>
      </c>
      <c r="S11" s="54">
        <v>59</v>
      </c>
    </row>
    <row r="12" spans="1:19" x14ac:dyDescent="0.25">
      <c r="R12" s="56" t="s">
        <v>620</v>
      </c>
      <c r="S12" s="54">
        <v>149</v>
      </c>
    </row>
    <row r="13" spans="1:19" x14ac:dyDescent="0.25">
      <c r="R13" s="56" t="s">
        <v>621</v>
      </c>
      <c r="S13" s="54">
        <v>110</v>
      </c>
    </row>
    <row r="14" spans="1:19" x14ac:dyDescent="0.25">
      <c r="R14" s="55" t="s">
        <v>37</v>
      </c>
      <c r="S14" s="54">
        <v>308</v>
      </c>
    </row>
    <row r="15" spans="1:19" x14ac:dyDescent="0.25">
      <c r="R15" s="56" t="s">
        <v>622</v>
      </c>
      <c r="S15" s="54">
        <v>100</v>
      </c>
    </row>
    <row r="16" spans="1:19" x14ac:dyDescent="0.25">
      <c r="R16" s="56" t="s">
        <v>620</v>
      </c>
      <c r="S16" s="54">
        <v>83</v>
      </c>
    </row>
    <row r="17" spans="18:19" x14ac:dyDescent="0.25">
      <c r="R17" s="56" t="s">
        <v>621</v>
      </c>
      <c r="S17" s="54">
        <v>125</v>
      </c>
    </row>
    <row r="18" spans="18:19" x14ac:dyDescent="0.25">
      <c r="R18" s="55" t="s">
        <v>86</v>
      </c>
      <c r="S18" s="54">
        <v>82</v>
      </c>
    </row>
    <row r="19" spans="18:19" x14ac:dyDescent="0.25">
      <c r="R19" s="56" t="s">
        <v>622</v>
      </c>
      <c r="S19" s="54">
        <v>37</v>
      </c>
    </row>
    <row r="20" spans="18:19" x14ac:dyDescent="0.25">
      <c r="R20" s="56" t="s">
        <v>620</v>
      </c>
      <c r="S20" s="54">
        <v>30</v>
      </c>
    </row>
    <row r="21" spans="18:19" x14ac:dyDescent="0.25">
      <c r="R21" s="56" t="s">
        <v>621</v>
      </c>
      <c r="S21" s="54">
        <v>15</v>
      </c>
    </row>
    <row r="22" spans="18:19" x14ac:dyDescent="0.25">
      <c r="R22" s="55" t="s">
        <v>20</v>
      </c>
      <c r="S22" s="54">
        <v>270</v>
      </c>
    </row>
    <row r="23" spans="18:19" x14ac:dyDescent="0.25">
      <c r="R23" s="56" t="s">
        <v>622</v>
      </c>
      <c r="S23" s="54">
        <v>53</v>
      </c>
    </row>
    <row r="24" spans="18:19" x14ac:dyDescent="0.25">
      <c r="R24" s="56" t="s">
        <v>620</v>
      </c>
      <c r="S24" s="54">
        <v>84</v>
      </c>
    </row>
    <row r="25" spans="18:19" x14ac:dyDescent="0.25">
      <c r="R25" s="56" t="s">
        <v>621</v>
      </c>
      <c r="S25" s="54">
        <v>133</v>
      </c>
    </row>
    <row r="26" spans="18:19" x14ac:dyDescent="0.25">
      <c r="R26" s="55" t="s">
        <v>39</v>
      </c>
      <c r="S26" s="54">
        <v>308</v>
      </c>
    </row>
    <row r="27" spans="18:19" x14ac:dyDescent="0.25">
      <c r="R27" s="56" t="s">
        <v>622</v>
      </c>
      <c r="S27" s="54">
        <v>99</v>
      </c>
    </row>
    <row r="28" spans="18:19" x14ac:dyDescent="0.25">
      <c r="R28" s="56" t="s">
        <v>620</v>
      </c>
      <c r="S28" s="54">
        <v>92</v>
      </c>
    </row>
    <row r="29" spans="18:19" x14ac:dyDescent="0.25">
      <c r="R29" s="56" t="s">
        <v>621</v>
      </c>
      <c r="S29" s="54">
        <v>117</v>
      </c>
    </row>
    <row r="30" spans="18:19" x14ac:dyDescent="0.25">
      <c r="R30" s="55" t="s">
        <v>34</v>
      </c>
      <c r="S30" s="54">
        <v>366</v>
      </c>
    </row>
    <row r="31" spans="18:19" x14ac:dyDescent="0.25">
      <c r="R31" s="56" t="s">
        <v>622</v>
      </c>
      <c r="S31" s="54">
        <v>82</v>
      </c>
    </row>
    <row r="32" spans="18:19" x14ac:dyDescent="0.25">
      <c r="R32" s="56" t="s">
        <v>620</v>
      </c>
      <c r="S32" s="54">
        <v>145</v>
      </c>
    </row>
    <row r="33" spans="18:19" x14ac:dyDescent="0.25">
      <c r="R33" s="56" t="s">
        <v>621</v>
      </c>
      <c r="S33" s="54">
        <v>139</v>
      </c>
    </row>
    <row r="34" spans="18:19" x14ac:dyDescent="0.25">
      <c r="R34" s="55" t="s">
        <v>32</v>
      </c>
      <c r="S34" s="54">
        <v>222</v>
      </c>
    </row>
    <row r="35" spans="18:19" x14ac:dyDescent="0.25">
      <c r="R35" s="56" t="s">
        <v>622</v>
      </c>
      <c r="S35" s="54">
        <v>89</v>
      </c>
    </row>
    <row r="36" spans="18:19" x14ac:dyDescent="0.25">
      <c r="R36" s="56" t="s">
        <v>620</v>
      </c>
      <c r="S36" s="54">
        <v>77</v>
      </c>
    </row>
    <row r="37" spans="18:19" x14ac:dyDescent="0.25">
      <c r="R37" s="56" t="s">
        <v>621</v>
      </c>
      <c r="S37" s="54">
        <v>56</v>
      </c>
    </row>
    <row r="38" spans="18:19" x14ac:dyDescent="0.25">
      <c r="R38" s="55" t="s">
        <v>28</v>
      </c>
      <c r="S38" s="54">
        <v>392</v>
      </c>
    </row>
    <row r="39" spans="18:19" x14ac:dyDescent="0.25">
      <c r="R39" s="56" t="s">
        <v>622</v>
      </c>
      <c r="S39" s="54">
        <v>67</v>
      </c>
    </row>
    <row r="40" spans="18:19" x14ac:dyDescent="0.25">
      <c r="R40" s="56" t="s">
        <v>620</v>
      </c>
      <c r="S40" s="54">
        <v>159</v>
      </c>
    </row>
    <row r="41" spans="18:19" x14ac:dyDescent="0.25">
      <c r="R41" s="56" t="s">
        <v>621</v>
      </c>
      <c r="S41" s="54">
        <v>166</v>
      </c>
    </row>
    <row r="42" spans="18:19" x14ac:dyDescent="0.25">
      <c r="R42" s="55" t="s">
        <v>50</v>
      </c>
      <c r="S42" s="54">
        <v>241</v>
      </c>
    </row>
    <row r="43" spans="18:19" x14ac:dyDescent="0.25">
      <c r="R43" s="56" t="s">
        <v>622</v>
      </c>
      <c r="S43" s="54">
        <v>48</v>
      </c>
    </row>
    <row r="44" spans="18:19" x14ac:dyDescent="0.25">
      <c r="R44" s="56" t="s">
        <v>620</v>
      </c>
      <c r="S44" s="54">
        <v>118</v>
      </c>
    </row>
    <row r="45" spans="18:19" x14ac:dyDescent="0.25">
      <c r="R45" s="56" t="s">
        <v>621</v>
      </c>
      <c r="S45" s="54">
        <v>75</v>
      </c>
    </row>
    <row r="46" spans="18:19" x14ac:dyDescent="0.25">
      <c r="R46" s="55" t="s">
        <v>42</v>
      </c>
      <c r="S46" s="54">
        <v>258</v>
      </c>
    </row>
    <row r="47" spans="18:19" x14ac:dyDescent="0.25">
      <c r="R47" s="56" t="s">
        <v>622</v>
      </c>
      <c r="S47" s="54">
        <v>118</v>
      </c>
    </row>
    <row r="48" spans="18:19" x14ac:dyDescent="0.25">
      <c r="R48" s="56" t="s">
        <v>620</v>
      </c>
      <c r="S48" s="54">
        <v>81</v>
      </c>
    </row>
    <row r="49" spans="18:19" x14ac:dyDescent="0.25">
      <c r="R49" s="56" t="s">
        <v>621</v>
      </c>
      <c r="S49" s="54">
        <v>59</v>
      </c>
    </row>
    <row r="50" spans="18:19" x14ac:dyDescent="0.25">
      <c r="R50" s="51" t="s">
        <v>635</v>
      </c>
      <c r="S50" s="52">
        <v>2985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696AC-6308-4160-B22B-637889FB424B}">
  <dimension ref="A1"/>
  <sheetViews>
    <sheetView tabSelected="1" topLeftCell="A4" zoomScale="74" workbookViewId="0">
      <selection activeCell="G26" sqref="G26"/>
    </sheetView>
  </sheetViews>
  <sheetFormatPr defaultRowHeight="12.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Main Dataset</vt:lpstr>
      <vt:lpstr>Finding Age To DOB</vt:lpstr>
      <vt:lpstr>Age-Belt distribution of Studen</vt:lpstr>
      <vt:lpstr>Quary Q&amp;A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KRRISH GUPTA</dc:creator>
  <cp:lastModifiedBy>Tuhin Maity</cp:lastModifiedBy>
  <cp:lastPrinted>2025-12-24T14:14:07Z</cp:lastPrinted>
  <dcterms:created xsi:type="dcterms:W3CDTF">2025-12-19T07:17:16Z</dcterms:created>
  <dcterms:modified xsi:type="dcterms:W3CDTF">2026-03-24T17:12:14Z</dcterms:modified>
</cp:coreProperties>
</file>